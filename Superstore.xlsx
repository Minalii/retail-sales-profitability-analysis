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minalali/Desktop/Projects/"/>
    </mc:Choice>
  </mc:AlternateContent>
  <xr:revisionPtr revIDLastSave="0" documentId="13_ncr:1_{C25CAEE3-937E-DC4B-B96F-DB05226C69D1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Raw Data" sheetId="1" r:id="rId1"/>
    <sheet name="Analysis" sheetId="3" r:id="rId2"/>
    <sheet name="Dashboard" sheetId="4" r:id="rId3"/>
    <sheet name="Executive Summary" sheetId="6" r:id="rId4"/>
  </sheets>
  <definedNames>
    <definedName name="_xlnm._FilterDatabase" localSheetId="0" hidden="1">'Raw Data'!$A$1:$H$259</definedName>
    <definedName name="_xlchart.v1.0" hidden="1">Analysis!$A$15:$A$17</definedName>
    <definedName name="_xlchart.v1.1" hidden="1">Analysis!$B$14</definedName>
    <definedName name="_xlchart.v1.2" hidden="1">Analysis!$B$15:$B$17</definedName>
    <definedName name="_xlchart.v1.3" hidden="1">Analysis!$A$15:$A$17</definedName>
    <definedName name="_xlchart.v1.4" hidden="1">Analysis!$B$14</definedName>
    <definedName name="_xlchart.v1.5" hidden="1">Analysis!$B$15:$B$17</definedName>
  </definedName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1" i="3"/>
  <c r="B10" i="3"/>
  <c r="B9" i="3"/>
</calcChain>
</file>

<file path=xl/sharedStrings.xml><?xml version="1.0" encoding="utf-8"?>
<sst xmlns="http://schemas.openxmlformats.org/spreadsheetml/2006/main" count="1060" uniqueCount="261">
  <si>
    <t>Order Date</t>
  </si>
  <si>
    <t>Region</t>
  </si>
  <si>
    <t>Category</t>
  </si>
  <si>
    <t>Sub-Category</t>
  </si>
  <si>
    <t>Sales</t>
  </si>
  <si>
    <t>Quantity</t>
  </si>
  <si>
    <t>Discount</t>
  </si>
  <si>
    <t>Profit</t>
  </si>
  <si>
    <t>10/17/2017</t>
  </si>
  <si>
    <t>11/26/2018</t>
  </si>
  <si>
    <t>7/21/2017</t>
  </si>
  <si>
    <t>11/25/2017</t>
  </si>
  <si>
    <t>1/2/2017</t>
  </si>
  <si>
    <t>11/16/2015</t>
  </si>
  <si>
    <t>11/6/2018</t>
  </si>
  <si>
    <t>9/8/2017</t>
  </si>
  <si>
    <t>11/26/2017</t>
  </si>
  <si>
    <t>9/10/2015</t>
  </si>
  <si>
    <t>10/6/2018</t>
  </si>
  <si>
    <t>10/20/2018</t>
  </si>
  <si>
    <t>11/19/2018</t>
  </si>
  <si>
    <t>10/19/2018</t>
  </si>
  <si>
    <t>8/22/2018</t>
  </si>
  <si>
    <t>12/10/2018</t>
  </si>
  <si>
    <t>7/31/2018</t>
  </si>
  <si>
    <t>9/7/2018</t>
  </si>
  <si>
    <t>12/22/2018</t>
  </si>
  <si>
    <t>12/7/2018</t>
  </si>
  <si>
    <t>4/14/2018</t>
  </si>
  <si>
    <t>12/5/2018</t>
  </si>
  <si>
    <t>4/27/2018</t>
  </si>
  <si>
    <t>4/28/2018</t>
  </si>
  <si>
    <t>8/29/2018</t>
  </si>
  <si>
    <t>6/30/2018</t>
  </si>
  <si>
    <t>6/2/2018</t>
  </si>
  <si>
    <t>8/28/2017</t>
  </si>
  <si>
    <t>12/12/2017</t>
  </si>
  <si>
    <t>9/15/2018</t>
  </si>
  <si>
    <t>7/26/2016</t>
  </si>
  <si>
    <t>3/8/2017</t>
  </si>
  <si>
    <t>9/20/2018</t>
  </si>
  <si>
    <t>12/10/2016</t>
  </si>
  <si>
    <t>8/18/2017</t>
  </si>
  <si>
    <t>9/17/2017</t>
  </si>
  <si>
    <t>9/19/2017</t>
  </si>
  <si>
    <t>8/3/2017</t>
  </si>
  <si>
    <t>3/26/2015</t>
  </si>
  <si>
    <t>5/20/2018</t>
  </si>
  <si>
    <t>3/12/2018</t>
  </si>
  <si>
    <t>4/13/2016</t>
  </si>
  <si>
    <t>3/10/2018</t>
  </si>
  <si>
    <t>5/7/2017</t>
  </si>
  <si>
    <t>11/16/2018</t>
  </si>
  <si>
    <t>7/5/2018</t>
  </si>
  <si>
    <t>9/11/2018</t>
  </si>
  <si>
    <t>12/1/2017</t>
  </si>
  <si>
    <t>5/3/2016</t>
  </si>
  <si>
    <t>12/7/2015</t>
  </si>
  <si>
    <t>11/17/2018</t>
  </si>
  <si>
    <t>10/23/2017</t>
  </si>
  <si>
    <t>8/29/2017</t>
  </si>
  <si>
    <t>7/22/2017</t>
  </si>
  <si>
    <t>9/9/2018</t>
  </si>
  <si>
    <t>4/1/2017</t>
  </si>
  <si>
    <t>4/26/2015</t>
  </si>
  <si>
    <t>4/28/2015</t>
  </si>
  <si>
    <t>5/7/2016</t>
  </si>
  <si>
    <t>12/27/2016</t>
  </si>
  <si>
    <t>1/19/2018</t>
  </si>
  <si>
    <t>11/12/2015</t>
  </si>
  <si>
    <t>4/9/2017</t>
  </si>
  <si>
    <t>3/22/2016</t>
  </si>
  <si>
    <t>10/30/2018</t>
  </si>
  <si>
    <t>10/1/2018</t>
  </si>
  <si>
    <t>5/31/2016</t>
  </si>
  <si>
    <t>12/14/2016</t>
  </si>
  <si>
    <t>10/21/2018</t>
  </si>
  <si>
    <t>10/27/2018</t>
  </si>
  <si>
    <t>12/19/2018</t>
  </si>
  <si>
    <t>10/4/2017</t>
  </si>
  <si>
    <t>9/29/2015</t>
  </si>
  <si>
    <t>10/28/2018</t>
  </si>
  <si>
    <t>9/22/2018</t>
  </si>
  <si>
    <t>9/20/2017</t>
  </si>
  <si>
    <t>12/8/2017</t>
  </si>
  <si>
    <t>10/16/2016</t>
  </si>
  <si>
    <t>11/23/2018</t>
  </si>
  <si>
    <t>10/9/2016</t>
  </si>
  <si>
    <t>11/16/2016</t>
  </si>
  <si>
    <t>12/23/2016</t>
  </si>
  <si>
    <t>3/17/2018</t>
  </si>
  <si>
    <t>11/4/2017</t>
  </si>
  <si>
    <t>9/21/2015</t>
  </si>
  <si>
    <t>9/6/2017</t>
  </si>
  <si>
    <t>11/11/2017</t>
  </si>
  <si>
    <t>9/5/2018</t>
  </si>
  <si>
    <t>10/29/2015</t>
  </si>
  <si>
    <t>8/4/2018</t>
  </si>
  <si>
    <t>11/27/2016</t>
  </si>
  <si>
    <t>10/9/2018</t>
  </si>
  <si>
    <t>6/21/2015</t>
  </si>
  <si>
    <t>11/22/2015</t>
  </si>
  <si>
    <t>7/22/2015</t>
  </si>
  <si>
    <t>11/17/2015</t>
  </si>
  <si>
    <t>9/10/2016</t>
  </si>
  <si>
    <t>11/14/2018</t>
  </si>
  <si>
    <t>9/24/2018</t>
  </si>
  <si>
    <t>11/10/2017</t>
  </si>
  <si>
    <t>5/14/2016</t>
  </si>
  <si>
    <t>12/24/2015</t>
  </si>
  <si>
    <t>12/7/2016</t>
  </si>
  <si>
    <t>6/12/2017</t>
  </si>
  <si>
    <t>4/30/2018</t>
  </si>
  <si>
    <t>9/25/2017</t>
  </si>
  <si>
    <t>11/4/2018</t>
  </si>
  <si>
    <t>11/28/2015</t>
  </si>
  <si>
    <t>12/19/2015</t>
  </si>
  <si>
    <t>3/14/2015</t>
  </si>
  <si>
    <t>4/25/2015</t>
  </si>
  <si>
    <t>6/8/2018</t>
  </si>
  <si>
    <t>11/26/2016</t>
  </si>
  <si>
    <t>9/2/2018</t>
  </si>
  <si>
    <t>9/1/2018</t>
  </si>
  <si>
    <t>2/17/2018</t>
  </si>
  <si>
    <t>12/8/2018</t>
  </si>
  <si>
    <t>5/26/2017</t>
  </si>
  <si>
    <t>10/21/2017</t>
  </si>
  <si>
    <t>11/21/2018</t>
  </si>
  <si>
    <t>10/30/2017</t>
  </si>
  <si>
    <t>7/23/2018</t>
  </si>
  <si>
    <t>12/5/2015</t>
  </si>
  <si>
    <t>3/11/2018</t>
  </si>
  <si>
    <t>10/15/2017</t>
  </si>
  <si>
    <t>6/8/2016</t>
  </si>
  <si>
    <t>10/5/2018</t>
  </si>
  <si>
    <t>12/25/2017</t>
  </si>
  <si>
    <t>11/13/2016</t>
  </si>
  <si>
    <t>9/13/2017</t>
  </si>
  <si>
    <t>6/13/2016</t>
  </si>
  <si>
    <t>10/14/2018</t>
  </si>
  <si>
    <t>12/17/2015</t>
  </si>
  <si>
    <t>12/3/2018</t>
  </si>
  <si>
    <t>5/25/2016</t>
  </si>
  <si>
    <t>3/21/2015</t>
  </si>
  <si>
    <t>11/30/2015</t>
  </si>
  <si>
    <t>3/3/2015</t>
  </si>
  <si>
    <t>2/2/2017</t>
  </si>
  <si>
    <t>1/11/2017</t>
  </si>
  <si>
    <t>8/11/2016</t>
  </si>
  <si>
    <t>8/24/2015</t>
  </si>
  <si>
    <t>12/11/2018</t>
  </si>
  <si>
    <t>7/18/2018</t>
  </si>
  <si>
    <t>11/13/2018</t>
  </si>
  <si>
    <t>12/14/2015</t>
  </si>
  <si>
    <t>5/9/2018</t>
  </si>
  <si>
    <t>1/16/2018</t>
  </si>
  <si>
    <t>12/16/2015</t>
  </si>
  <si>
    <t>6/6/2015</t>
  </si>
  <si>
    <t>4/16/2017</t>
  </si>
  <si>
    <t>6/3/2018</t>
  </si>
  <si>
    <t>12/19/2016</t>
  </si>
  <si>
    <t>8/12/2015</t>
  </si>
  <si>
    <t>12/9/2015</t>
  </si>
  <si>
    <t>8/15/2017</t>
  </si>
  <si>
    <t>11/21/2017</t>
  </si>
  <si>
    <t>7/12/2015</t>
  </si>
  <si>
    <t>4/17/2018</t>
  </si>
  <si>
    <t>6/22/2016</t>
  </si>
  <si>
    <t>5/4/2016</t>
  </si>
  <si>
    <t>8/9/2016</t>
  </si>
  <si>
    <t>3/9/2016</t>
  </si>
  <si>
    <t>6/7/2016</t>
  </si>
  <si>
    <t>9/9/2015</t>
  </si>
  <si>
    <t>11/2/2018</t>
  </si>
  <si>
    <t>3/28/2017</t>
  </si>
  <si>
    <t>12/1/2018</t>
  </si>
  <si>
    <t>8/3/2018</t>
  </si>
  <si>
    <t>10/16/2018</t>
  </si>
  <si>
    <t>10/22/2018</t>
  </si>
  <si>
    <t>1/10/2015</t>
  </si>
  <si>
    <t>9/14/2015</t>
  </si>
  <si>
    <t>12/10/2017</t>
  </si>
  <si>
    <t>3/18/2018</t>
  </si>
  <si>
    <t>6/25/2017</t>
  </si>
  <si>
    <t>7/20/2018</t>
  </si>
  <si>
    <t>5/23/2017</t>
  </si>
  <si>
    <t>3/29/2017</t>
  </si>
  <si>
    <t>3/4/2017</t>
  </si>
  <si>
    <t>12/4/2016</t>
  </si>
  <si>
    <t>11/11/2015</t>
  </si>
  <si>
    <t>3/1/2017</t>
  </si>
  <si>
    <t>8/13/2017</t>
  </si>
  <si>
    <t>5/19/2017</t>
  </si>
  <si>
    <t>11/5/2016</t>
  </si>
  <si>
    <t>3/8/2018</t>
  </si>
  <si>
    <t>6/6/2017</t>
  </si>
  <si>
    <t>9/5/2017</t>
  </si>
  <si>
    <t>6/11/2016</t>
  </si>
  <si>
    <t>9/7/2015</t>
  </si>
  <si>
    <t>6/12/2016</t>
  </si>
  <si>
    <t>9/15/2016</t>
  </si>
  <si>
    <t>10/31/2015</t>
  </si>
  <si>
    <t>9/17/2016</t>
  </si>
  <si>
    <t>6/27/2018</t>
  </si>
  <si>
    <t>2/22/2017</t>
  </si>
  <si>
    <t>6/1/2015</t>
  </si>
  <si>
    <t>12/6/2016</t>
  </si>
  <si>
    <t>6/26/2018</t>
  </si>
  <si>
    <t>1/2/2018</t>
  </si>
  <si>
    <t>4/4/2016</t>
  </si>
  <si>
    <t>3/27/2018</t>
  </si>
  <si>
    <t>12/6/2015</t>
  </si>
  <si>
    <t>7/7/2017</t>
  </si>
  <si>
    <t>9/6/2015</t>
  </si>
  <si>
    <t>5/28/2017</t>
  </si>
  <si>
    <t>11/14/2017</t>
  </si>
  <si>
    <t>2/7/2016</t>
  </si>
  <si>
    <t>3/22/2017</t>
  </si>
  <si>
    <t>8/3/2015</t>
  </si>
  <si>
    <t>5/5/2017</t>
  </si>
  <si>
    <t>12/25/2018</t>
  </si>
  <si>
    <t>9/12/2018</t>
  </si>
  <si>
    <t>11/18/2015</t>
  </si>
  <si>
    <t>9/4/2017</t>
  </si>
  <si>
    <t>5/31/2017</t>
  </si>
  <si>
    <t>11/8/2016</t>
  </si>
  <si>
    <t>11/1/2016</t>
  </si>
  <si>
    <t>9/18/2018</t>
  </si>
  <si>
    <t>9/2/2015</t>
  </si>
  <si>
    <t>12/17/2016</t>
  </si>
  <si>
    <t>West</t>
  </si>
  <si>
    <t>Central</t>
  </si>
  <si>
    <t>South</t>
  </si>
  <si>
    <t>East</t>
  </si>
  <si>
    <t>Office Supplies</t>
  </si>
  <si>
    <t>Furniture</t>
  </si>
  <si>
    <t>Technology</t>
  </si>
  <si>
    <t>Binders</t>
  </si>
  <si>
    <t>Furnishings</t>
  </si>
  <si>
    <t>Chairs</t>
  </si>
  <si>
    <t>Paper</t>
  </si>
  <si>
    <t>Bookcases</t>
  </si>
  <si>
    <t>Storage</t>
  </si>
  <si>
    <t>Art</t>
  </si>
  <si>
    <t>Tables</t>
  </si>
  <si>
    <t>Phones</t>
  </si>
  <si>
    <t>Accessories</t>
  </si>
  <si>
    <t>Appliances</t>
  </si>
  <si>
    <t>Envelopes</t>
  </si>
  <si>
    <t>Labels</t>
  </si>
  <si>
    <t>Machines</t>
  </si>
  <si>
    <t>Supplies</t>
  </si>
  <si>
    <t>Copiers</t>
  </si>
  <si>
    <t>Fasteners</t>
  </si>
  <si>
    <t>Grand Total</t>
  </si>
  <si>
    <t>Sum of Sales</t>
  </si>
  <si>
    <t>Sum of Profit</t>
  </si>
  <si>
    <t>`</t>
  </si>
  <si>
    <t>Sum of Profit Margin</t>
  </si>
  <si>
    <t>Average of Discount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</si>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</sst>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44" fontId="0" fillId="0" borderId="0" xfId="1" applyNumberFormat="1" applyFont="1" applyAlignment="1">
      <alignment horizontal="center"/>
    </xf>
    <xf numFmtId="9" fontId="0" fillId="0" borderId="0" xfId="2" applyFon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Font="1" applyBorder="1" applyAlignment="1">
      <alignment horizontal="left"/>
    </xf>
    <xf numFmtId="10" fontId="0" fillId="0" borderId="5" xfId="2" applyNumberFormat="1" applyFont="1" applyBorder="1"/>
    <xf numFmtId="0" fontId="0" fillId="0" borderId="6" xfId="0" applyFont="1" applyBorder="1" applyAlignment="1">
      <alignment horizontal="left"/>
    </xf>
    <xf numFmtId="10" fontId="0" fillId="0" borderId="7" xfId="2" applyNumberFormat="1" applyFont="1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10" fontId="0" fillId="0" borderId="1" xfId="0" applyNumberFormat="1" applyBorder="1"/>
    <xf numFmtId="9" fontId="0" fillId="0" borderId="1" xfId="0" applyNumberFormat="1" applyBorder="1"/>
    <xf numFmtId="0" fontId="0" fillId="0" borderId="1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Analysis!$A$9:$A$11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Analysis!$B$9:$B$11</c:f>
              <c:numCache>
                <c:formatCode>0.00%</c:formatCode>
                <c:ptCount val="3"/>
                <c:pt idx="0">
                  <c:v>-8.6109781300533469E-2</c:v>
                </c:pt>
                <c:pt idx="1">
                  <c:v>8.0168842164220211E-2</c:v>
                </c:pt>
                <c:pt idx="2">
                  <c:v>0.15982844958427861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8-FA4A-9B35-A182A167C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600737536"/>
        <c:axId val="600738432"/>
      </c:barChart>
      <c:catAx>
        <c:axId val="6007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38432"/>
        <c:crosses val="autoZero"/>
        <c:auto val="0"/>
        <c:lblAlgn val="ctr"/>
        <c:lblOffset val="100"/>
        <c:noMultiLvlLbl val="0"/>
      </c:catAx>
      <c:valAx>
        <c:axId val="6007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3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Analysis!$B$14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Analysis!$A$15:$A$17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Analysis!$B$15:$B$17</c:f>
              <c:numCache>
                <c:formatCode>0%</c:formatCode>
                <c:ptCount val="3"/>
                <c:pt idx="0">
                  <c:v>0.2138983050847458</c:v>
                </c:pt>
                <c:pt idx="1">
                  <c:v>0.15821917808219163</c:v>
                </c:pt>
                <c:pt idx="2">
                  <c:v>0.13962264150943404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5-8B4A-B558-F73FFCD98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60579584"/>
        <c:axId val="460570624"/>
      </c:barChart>
      <c:catAx>
        <c:axId val="4605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570624"/>
        <c:crosses val="autoZero"/>
        <c:auto val="1"/>
        <c:lblAlgn val="ctr"/>
        <c:lblOffset val="100"/>
        <c:noMultiLvlLbl val="0"/>
      </c:catAx>
      <c:valAx>
        <c:axId val="46057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5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25400</xdr:rowOff>
    </xdr:from>
    <xdr:to>
      <xdr:col>9</xdr:col>
      <xdr:colOff>812800</xdr:colOff>
      <xdr:row>28</xdr:row>
      <xdr:rowOff>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5E623548-67AD-5AE1-EA03-A2B7CBD47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0</xdr:row>
      <xdr:rowOff>25400</xdr:rowOff>
    </xdr:from>
    <xdr:to>
      <xdr:col>20</xdr:col>
      <xdr:colOff>0</xdr:colOff>
      <xdr:row>28</xdr:row>
      <xdr:rowOff>0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87BF9035-2B74-8158-4540-E64D9CE5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</xdr:row>
      <xdr:rowOff>50800</xdr:rowOff>
    </xdr:from>
    <xdr:to>
      <xdr:col>8</xdr:col>
      <xdr:colOff>762000</xdr:colOff>
      <xdr:row>34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0E2751-22BE-512F-09C8-DF5A52FDFF98}"/>
            </a:ext>
          </a:extLst>
        </xdr:cNvPr>
        <xdr:cNvSpPr txBox="1"/>
      </xdr:nvSpPr>
      <xdr:spPr>
        <a:xfrm>
          <a:off x="876300" y="241300"/>
          <a:ext cx="6489700" cy="627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Overview</a:t>
          </a:r>
          <a:b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This analysis examines profitability and discounting patterns across product categories in a 258-order retail sales sample, with the goal of identifying which categories are underperforming and why.</a:t>
          </a:r>
        </a:p>
        <a:p>
          <a:endParaRPr lang="en-CA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CA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Methodology</a:t>
          </a:r>
          <a:b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source dataset contained 305 order records across 8 fields (Order Date, Region, Category, Sub-Category, Sales, Quantity, Discount, Profit). 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data preparation included: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• Removed 35 exact duplicate rows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• Removed 12 rows with missing Region or Sales values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• Standardized inconsistent text formatting in the Category field (casing and whitespace variants)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• Final dataset: 258 clean rows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• Category-level KPIs (Total Sales, Total Profit, Profit Margin, Average Discount) were calculated using PivotTables and a calculated field in Excel.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•</a:t>
          </a:r>
          <a:r>
            <a:rPr lang="en-CA" sz="12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Visualizations were built from dedicated summary tables rather than directly from the PivotTable, keeping chart formatting stable independent of pivot refreshes.</a:t>
          </a:r>
          <a:b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CA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CA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 Findings</a:t>
          </a:r>
          <a:endParaRPr lang="en-CA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Technology is the strongest-performing category, generating $50,495.36 in sales at a 15.98% profit margin.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Office Supplies performs moderately, with $16,597.28 in sales and an 8.02% margin.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Furniture is unprofitable overall, generating $20,277.95 in sales but with a -8.61% margin (a net loss of $1,746.13).</a:t>
          </a:r>
        </a:p>
        <a:p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Furniture also carries the highest average discount rate (21%), compared to Office Supplies (16%) and Technology (14%). This pattern is consistent with heavier discounting contributing to Furniture's negative margin, though this dataset does not establish a direct causal relationship.</a:t>
          </a:r>
          <a:b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CA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CA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Recommendation</a:t>
          </a:r>
          <a:b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Furniture's discount levels warrant review before further promotional activity in that category. A follow-up analysis at the sub-category level (e.g., Chairs, Tables, Bookcases) would help identify whether losses are concentrated in specific products or spread evenly across the category.</a:t>
          </a:r>
        </a:p>
        <a:p>
          <a:endParaRPr lang="en-CA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CA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Limitations</a:t>
          </a:r>
          <a:b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This analysis is based on a 258-order sample and reflects directional patterns rather than a comprehensive account of overall business performance.</a:t>
          </a:r>
        </a:p>
        <a:p>
          <a:br>
            <a:rPr lang="en-CA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CA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al Ali" refreshedDate="46227.905056249998" createdVersion="8" refreshedVersion="8" minRefreshableVersion="3" recordCount="258" xr:uid="{72CEC4DD-05BB-684A-8E06-E856A4CE1392}">
  <cacheSource type="worksheet">
    <worksheetSource name="SalesData"/>
  </cacheSource>
  <cacheFields count="9">
    <cacheField name="Order Date" numFmtId="0">
      <sharedItems/>
    </cacheField>
    <cacheField name="Region" numFmtId="0">
      <sharedItems/>
    </cacheField>
    <cacheField name="Category" numFmtId="0">
      <sharedItems count="3">
        <s v="Furniture"/>
        <s v="Technology"/>
        <s v="OfficeSupplies"/>
      </sharedItems>
    </cacheField>
    <cacheField name="Sub-Category" numFmtId="0">
      <sharedItems/>
    </cacheField>
    <cacheField name="Sales" numFmtId="44">
      <sharedItems containsSemiMixedTypes="0" containsString="0" containsNumber="1" minValue="1.788" maxValue="10499.97" count="251">
        <n v="126.3"/>
        <n v="173.94"/>
        <n v="95.84"/>
        <n v="305.97449999999998"/>
        <n v="45.527999999999999"/>
        <n v="41.423999999999999"/>
        <n v="18.16"/>
        <n v="16.896000000000001"/>
        <n v="9.64"/>
        <n v="17.856000000000002"/>
        <n v="35.951999999999998"/>
        <n v="41.96"/>
        <n v="210.00800000000001"/>
        <n v="5.08"/>
        <n v="363.92"/>
        <n v="2.0720000000000001"/>
        <n v="5.6820000000000004"/>
        <n v="219.07499999999999"/>
        <n v="81.567999999999998"/>
        <n v="75.88"/>
        <n v="1889.99"/>
        <n v="242.352"/>
        <n v="9.2959999999999994"/>
        <n v="139.58000000000001"/>
        <n v="28.08"/>
        <n v="9.4079999999999995"/>
        <n v="1044.6300000000001"/>
        <n v="25.344000000000001"/>
        <n v="108.57599999999999"/>
        <n v="249.95"/>
        <n v="99.3"/>
        <n v="9.1440000000000001"/>
        <n v="12.96"/>
        <n v="2254.41"/>
        <n v="53.088000000000001"/>
        <n v="9.5519999999999996"/>
        <n v="14.82"/>
        <n v="1606.23"/>
        <n v="81.540000000000006"/>
        <n v="18.75"/>
        <n v="343.2"/>
        <n v="40.409999999999997"/>
        <n v="710.83199999999999"/>
        <n v="35.909999999999997"/>
        <n v="199.95"/>
        <n v="86.352000000000004"/>
        <n v="11.394"/>
        <n v="10.272"/>
        <n v="248.43"/>
        <n v="23.696000000000002"/>
        <n v="164.88"/>
        <n v="43.8"/>
        <n v="379.4"/>
        <n v="1.788"/>
        <n v="86.2"/>
        <n v="243.92"/>
        <n v="20.7"/>
        <n v="230.28"/>
        <n v="1679.96"/>
        <n v="244.006"/>
        <n v="212.05799999999999"/>
        <n v="21.696000000000002"/>
        <n v="67.993200000000002"/>
        <n v="517.9"/>
        <n v="15.984"/>
        <n v="13.904"/>
        <n v="241.96"/>
        <n v="274.8"/>
        <n v="6.48"/>
        <n v="23.992000000000001"/>
        <n v="556.66499999999996"/>
        <n v="13.36"/>
        <n v="59.752000000000002"/>
        <n v="807.75"/>
        <n v="21.93"/>
        <n v="86.97"/>
        <n v="271.98399999999998"/>
        <n v="1097.5440000000001"/>
        <n v="824.97"/>
        <n v="27.992000000000001"/>
        <n v="389.97"/>
        <n v="523.25"/>
        <n v="242.94"/>
        <n v="194.32"/>
        <n v="107.44"/>
        <n v="686.4"/>
        <n v="19.350000000000001"/>
        <n v="31.86"/>
        <n v="147.184"/>
        <n v="47.991999999999997"/>
        <n v="32.36"/>
        <n v="2735.9520000000002"/>
        <n v="8.7840000000000007"/>
        <n v="107.97"/>
        <n v="12.816000000000001"/>
        <n v="21.4"/>
        <n v="6.9279999999999999"/>
        <n v="159.97999999999999"/>
        <n v="34.44"/>
        <n v="61.96"/>
        <n v="321.56799999999998"/>
        <n v="603.91999999999996"/>
        <n v="29.74"/>
        <n v="198.27199999999999"/>
        <n v="30.36"/>
        <n v="773.94"/>
        <n v="1669.6"/>
        <n v="13.896000000000001"/>
        <n v="44.735999999999997"/>
        <n v="95.975999999999999"/>
        <n v="45.66"/>
        <n v="4.8120000000000003"/>
        <n v="3.38"/>
        <n v="270.72000000000003"/>
        <n v="10.36"/>
        <n v="61.04"/>
        <n v="10.9"/>
        <n v="22.92"/>
        <n v="5.04"/>
        <n v="124.792"/>
        <n v="21.5"/>
        <n v="1004.024"/>
        <n v="61.44"/>
        <n v="47.92"/>
        <n v="7.92"/>
        <n v="10499.97"/>
        <n v="8.6199999999999992"/>
        <n v="3.62"/>
        <n v="83.7"/>
        <n v="25.128"/>
        <n v="11.54"/>
        <n v="63.311999999999998"/>
        <n v="348.488"/>
        <n v="63.88"/>
        <n v="121.6"/>
        <n v="9"/>
        <n v="7.992"/>
        <n v="99.2"/>
        <n v="2575.944"/>
        <n v="683.33199999999999"/>
        <n v="149.94999999999999"/>
        <n v="899.97"/>
        <n v="13.456"/>
        <n v="72.587999999999994"/>
        <n v="40.049999999999997"/>
        <n v="45.216000000000001"/>
        <n v="32.368000000000002"/>
        <n v="218.376"/>
        <n v="15.12"/>
        <n v="2.97"/>
        <n v="18.690000000000001"/>
        <n v="54.991999999999997"/>
        <n v="138"/>
        <n v="12.672000000000001"/>
        <n v="62.18"/>
        <n v="721.875"/>
        <n v="801.6"/>
        <n v="61.792000000000002"/>
        <n v="2.6240000000000001"/>
        <n v="147.91999999999999"/>
        <n v="12.6"/>
        <n v="27.92"/>
        <n v="319.96800000000002"/>
        <n v="13.984"/>
        <n v="1322.93"/>
        <n v="9099.93"/>
        <n v="11.96"/>
        <n v="2249.91"/>
        <n v="5.5519999999999996"/>
        <n v="100.70399999999999"/>
        <n v="71.975999999999999"/>
        <n v="77.951999999999998"/>
        <n v="11.263999999999999"/>
        <n v="2549.9850000000001"/>
        <n v="796.42499999999995"/>
        <n v="26.8"/>
        <n v="687.4"/>
        <n v="4.6079999999999997"/>
        <n v="8.016"/>
        <n v="60.671999999999997"/>
        <n v="83.9"/>
        <n v="232.96"/>
        <n v="87.92"/>
        <n v="105.584"/>
        <n v="51.75"/>
        <n v="599.98500000000001"/>
        <n v="52.99"/>
        <n v="51.94"/>
        <n v="13.128"/>
        <n v="153.55199999999999"/>
        <n v="19.399999999999999"/>
        <n v="422.05799999999999"/>
        <n v="67.040000000000006"/>
        <n v="45.4"/>
        <n v="735.98"/>
        <n v="8399.9760000000006"/>
        <n v="158.376"/>
        <n v="271.44"/>
        <n v="8.9640000000000004"/>
        <n v="797.94399999999996"/>
        <n v="362.92"/>
        <n v="35.92"/>
        <n v="650.35199999999998"/>
        <n v="19.824000000000002"/>
        <n v="22.05"/>
        <n v="21.204000000000001"/>
        <n v="53.7"/>
        <n v="19.86"/>
        <n v="29.9"/>
        <n v="24.672000000000001"/>
        <n v="11.231999999999999"/>
        <n v="385.68599999999998"/>
        <n v="7.38"/>
        <n v="69.930000000000007"/>
        <n v="15.76"/>
        <n v="191.64599999999999"/>
        <n v="490.32"/>
        <n v="2.92"/>
        <n v="65.52"/>
        <n v="7.78"/>
        <n v="287.97000000000003"/>
        <n v="272.94"/>
        <n v="5.4320000000000004"/>
        <n v="10.95"/>
        <n v="206.1"/>
        <n v="275.49"/>
        <n v="45.98"/>
        <n v="58.48"/>
        <n v="139.96"/>
        <n v="185.88"/>
        <n v="23.65"/>
        <n v="35.167999999999999"/>
        <n v="311.14999999999998"/>
        <n v="58.58"/>
        <n v="35.06"/>
        <n v="102.3"/>
        <n v="93.248000000000005"/>
        <n v="59.94"/>
        <n v="31.744"/>
        <n v="45.36"/>
        <n v="8.5440000000000005"/>
        <n v="87.168000000000006"/>
        <n v="191.07900000000001"/>
        <n v="480.96"/>
        <n v="16.23"/>
        <n v="52.271999999999998"/>
        <n v="301.95999999999998"/>
        <n v="10.08"/>
        <n v="1793.98"/>
        <n v="233.05799999999999"/>
        <n v="13.12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44">
      <sharedItems containsSemiMixedTypes="0" containsString="0" containsNumber="1" minValue="-3399.98" maxValue="5039.9856"/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s v="11/26/2018"/>
    <s v="Central"/>
    <x v="0"/>
    <s v="Furnishings"/>
    <x v="0"/>
    <n v="3"/>
    <n v="0"/>
    <n v="40.415999999999997"/>
  </r>
  <r>
    <s v="1/2/2017"/>
    <s v="East"/>
    <x v="0"/>
    <s v="Bookcases"/>
    <x v="1"/>
    <n v="3"/>
    <n v="0"/>
    <n v="38.266800000000003"/>
  </r>
  <r>
    <s v="12/10/2018"/>
    <s v="West"/>
    <x v="1"/>
    <s v="Phones"/>
    <x v="2"/>
    <n v="4"/>
    <n v="0.2"/>
    <n v="34.741999999999997"/>
  </r>
  <r>
    <s v="11/16/2015"/>
    <s v="West"/>
    <x v="0"/>
    <s v="Bookcases"/>
    <x v="3"/>
    <n v="3"/>
    <n v="0.15"/>
    <n v="25.197900000000001"/>
  </r>
  <r>
    <s v="10/20/2018"/>
    <s v="East"/>
    <x v="2"/>
    <s v="Paper"/>
    <x v="4"/>
    <n v="3"/>
    <n v="0.2"/>
    <n v="15.934799999999999"/>
  </r>
  <r>
    <s v="7/31/2018"/>
    <s v="South"/>
    <x v="1"/>
    <s v="Accessories"/>
    <x v="5"/>
    <n v="2"/>
    <n v="0.2"/>
    <n v="8.2848000000000006"/>
  </r>
  <r>
    <s v="10/17/2017"/>
    <s v="West"/>
    <x v="2"/>
    <s v="Binders"/>
    <x v="6"/>
    <n v="5"/>
    <n v="0.2"/>
    <n v="6.5830000000000002"/>
  </r>
  <r>
    <s v="11/19/2018"/>
    <s v="Central"/>
    <x v="2"/>
    <s v="Paper"/>
    <x v="7"/>
    <n v="4"/>
    <n v="0.2"/>
    <n v="5.28"/>
  </r>
  <r>
    <s v="9/10/2015"/>
    <s v="South"/>
    <x v="2"/>
    <s v="Binders"/>
    <x v="8"/>
    <n v="2"/>
    <n v="0"/>
    <n v="4.7236000000000002"/>
  </r>
  <r>
    <s v="11/26/2017"/>
    <s v="Central"/>
    <x v="2"/>
    <s v="Art"/>
    <x v="9"/>
    <n v="4"/>
    <n v="0.2"/>
    <n v="4.2408000000000001"/>
  </r>
  <r>
    <s v="9/8/2017"/>
    <s v="Central"/>
    <x v="2"/>
    <s v="Storage"/>
    <x v="10"/>
    <n v="3"/>
    <n v="0.2"/>
    <n v="3.5952000000000002"/>
  </r>
  <r>
    <s v="10/6/2018"/>
    <s v="West"/>
    <x v="0"/>
    <s v="Furnishings"/>
    <x v="11"/>
    <n v="2"/>
    <n v="0"/>
    <n v="2.9371999999999998"/>
  </r>
  <r>
    <s v="8/22/2018"/>
    <s v="West"/>
    <x v="0"/>
    <s v="Tables"/>
    <x v="12"/>
    <n v="1"/>
    <n v="0.2"/>
    <n v="2.6251000000000002"/>
  </r>
  <r>
    <s v="11/25/2017"/>
    <s v="South"/>
    <x v="2"/>
    <s v="Paper"/>
    <x v="13"/>
    <n v="1"/>
    <n v="0.2"/>
    <n v="1.651"/>
  </r>
  <r>
    <s v="7/21/2017"/>
    <s v="South"/>
    <x v="0"/>
    <s v="Chairs"/>
    <x v="14"/>
    <n v="5"/>
    <n v="0.2"/>
    <n v="0"/>
  </r>
  <r>
    <s v="10/19/2018"/>
    <s v="Central"/>
    <x v="2"/>
    <s v="Binders"/>
    <x v="15"/>
    <n v="2"/>
    <n v="0.8"/>
    <n v="-3.5224000000000002"/>
  </r>
  <r>
    <s v="11/6/2018"/>
    <s v="West"/>
    <x v="2"/>
    <s v="Binders"/>
    <x v="16"/>
    <n v="1"/>
    <n v="0.7"/>
    <n v="-3.7879999999999998"/>
  </r>
  <r>
    <s v="11/19/2018"/>
    <s v="Central"/>
    <x v="0"/>
    <s v="Tables"/>
    <x v="17"/>
    <n v="3"/>
    <n v="0.5"/>
    <n v="-131.44499999999999"/>
  </r>
  <r>
    <s v="9/7/2018"/>
    <s v="South"/>
    <x v="2"/>
    <s v="Appliances"/>
    <x v="18"/>
    <n v="2"/>
    <n v="0.2"/>
    <n v="7.1372"/>
  </r>
  <r>
    <s v="12/22/2018"/>
    <s v="Central"/>
    <x v="2"/>
    <s v="Paper"/>
    <x v="19"/>
    <n v="5"/>
    <n v="0.2"/>
    <n v="26.558"/>
  </r>
  <r>
    <s v="12/7/2018"/>
    <s v="Central"/>
    <x v="2"/>
    <s v="Binders"/>
    <x v="20"/>
    <n v="5"/>
    <n v="0.8"/>
    <n v="-2929.4845"/>
  </r>
  <r>
    <s v="4/14/2018"/>
    <s v="East"/>
    <x v="0"/>
    <s v="Bookcases"/>
    <x v="21"/>
    <n v="3"/>
    <n v="0.2"/>
    <n v="9.0882000000000005"/>
  </r>
  <r>
    <s v="12/5/2018"/>
    <s v="West"/>
    <x v="2"/>
    <s v="Binders"/>
    <x v="22"/>
    <n v="2"/>
    <n v="0.2"/>
    <n v="3.0211999999999999"/>
  </r>
  <r>
    <s v="4/27/2018"/>
    <s v="West"/>
    <x v="0"/>
    <s v="Furnishings"/>
    <x v="23"/>
    <n v="7"/>
    <n v="0"/>
    <n v="39.0824"/>
  </r>
  <r>
    <s v="4/28/2018"/>
    <s v="South"/>
    <x v="2"/>
    <s v="Appliances"/>
    <x v="24"/>
    <n v="3"/>
    <n v="0.2"/>
    <n v="5.2649999999999997"/>
  </r>
  <r>
    <s v="8/29/2018"/>
    <s v="East"/>
    <x v="2"/>
    <s v="Art"/>
    <x v="25"/>
    <n v="7"/>
    <n v="0.2"/>
    <n v="0.7056"/>
  </r>
  <r>
    <s v="6/30/2018"/>
    <s v="East"/>
    <x v="0"/>
    <s v="Tables"/>
    <x v="26"/>
    <n v="5"/>
    <n v="0.4"/>
    <n v="-295.9785"/>
  </r>
  <r>
    <s v="6/2/2018"/>
    <s v="South"/>
    <x v="2"/>
    <s v="Paper"/>
    <x v="27"/>
    <n v="4"/>
    <n v="0.2"/>
    <n v="9.1872000000000007"/>
  </r>
  <r>
    <s v="8/28/2017"/>
    <s v="West"/>
    <x v="1"/>
    <s v="Phones"/>
    <x v="28"/>
    <n v="3"/>
    <n v="0.2"/>
    <n v="8.1432000000000002"/>
  </r>
  <r>
    <s v="12/12/2017"/>
    <s v="South"/>
    <x v="1"/>
    <s v="Accessories"/>
    <x v="29"/>
    <n v="5"/>
    <n v="0"/>
    <n v="19.995999999999999"/>
  </r>
  <r>
    <s v="9/15/2018"/>
    <s v="West"/>
    <x v="2"/>
    <s v="Art"/>
    <x v="30"/>
    <n v="10"/>
    <n v="0"/>
    <n v="41.706000000000003"/>
  </r>
  <r>
    <s v="7/26/2016"/>
    <s v="West"/>
    <x v="2"/>
    <s v="Binders"/>
    <x v="31"/>
    <n v="3"/>
    <n v="0.2"/>
    <n v="3.0861000000000001"/>
  </r>
  <r>
    <s v="3/8/2017"/>
    <s v="East"/>
    <x v="2"/>
    <s v="Paper"/>
    <x v="32"/>
    <n v="2"/>
    <n v="0"/>
    <n v="6.3503999999999996"/>
  </r>
  <r>
    <s v="9/20/2018"/>
    <s v="East"/>
    <x v="0"/>
    <s v="Chairs"/>
    <x v="33"/>
    <n v="5"/>
    <n v="0.1"/>
    <n v="375.73500000000001"/>
  </r>
  <r>
    <s v="12/10/2016"/>
    <s v="Central"/>
    <x v="2"/>
    <s v="Appliances"/>
    <x v="34"/>
    <n v="7"/>
    <n v="0.8"/>
    <n v="-108.8304"/>
  </r>
  <r>
    <s v="8/18/2017"/>
    <s v="Central"/>
    <x v="0"/>
    <s v="Furnishings"/>
    <x v="35"/>
    <n v="3"/>
    <n v="0.6"/>
    <n v="-3.8208000000000002"/>
  </r>
  <r>
    <s v="9/17/2017"/>
    <s v="East"/>
    <x v="0"/>
    <s v="Furnishings"/>
    <x v="36"/>
    <n v="3"/>
    <n v="0"/>
    <n v="6.2244000000000002"/>
  </r>
  <r>
    <s v="9/19/2017"/>
    <s v="East"/>
    <x v="2"/>
    <s v="Storage"/>
    <x v="37"/>
    <n v="9"/>
    <n v="0"/>
    <n v="481.86900000000003"/>
  </r>
  <r>
    <s v="8/3/2017"/>
    <s v="Central"/>
    <x v="2"/>
    <s v="Envelopes"/>
    <x v="38"/>
    <n v="3"/>
    <n v="0"/>
    <n v="38.323799999999999"/>
  </r>
  <r>
    <s v="3/26/2015"/>
    <s v="West"/>
    <x v="2"/>
    <s v="Labels"/>
    <x v="39"/>
    <n v="5"/>
    <n v="0"/>
    <n v="9"/>
  </r>
  <r>
    <s v="5/20/2018"/>
    <s v="West"/>
    <x v="1"/>
    <s v="Machines"/>
    <x v="40"/>
    <n v="1"/>
    <n v="0.2"/>
    <n v="38.61"/>
  </r>
  <r>
    <s v="3/12/2018"/>
    <s v="South"/>
    <x v="2"/>
    <s v="Binders"/>
    <x v="41"/>
    <n v="9"/>
    <n v="0"/>
    <n v="18.5886"/>
  </r>
  <r>
    <s v="4/13/2016"/>
    <s v="West"/>
    <x v="0"/>
    <s v="Tables"/>
    <x v="42"/>
    <n v="3"/>
    <n v="0.2"/>
    <n v="-97.739400000000003"/>
  </r>
  <r>
    <s v="3/10/2018"/>
    <s v="East"/>
    <x v="1"/>
    <s v="Phones"/>
    <x v="43"/>
    <n v="3"/>
    <n v="0.4"/>
    <n v="-8.3789999999999996"/>
  </r>
  <r>
    <s v="5/7/2017"/>
    <s v="East"/>
    <x v="1"/>
    <s v="Accessories"/>
    <x v="44"/>
    <n v="5"/>
    <n v="0"/>
    <n v="21.994499999999999"/>
  </r>
  <r>
    <s v="11/16/2018"/>
    <s v="East"/>
    <x v="2"/>
    <s v="Art"/>
    <x v="45"/>
    <n v="3"/>
    <n v="0.2"/>
    <n v="5.3970000000000002"/>
  </r>
  <r>
    <s v="7/5/2018"/>
    <s v="Central"/>
    <x v="2"/>
    <s v="Binders"/>
    <x v="46"/>
    <n v="9"/>
    <n v="0.8"/>
    <n v="-17.660699999999999"/>
  </r>
  <r>
    <s v="9/11/2018"/>
    <s v="Central"/>
    <x v="2"/>
    <s v="Paper"/>
    <x v="47"/>
    <n v="3"/>
    <n v="0.2"/>
    <n v="3.21"/>
  </r>
  <r>
    <s v="12/1/2017"/>
    <s v="Central"/>
    <x v="0"/>
    <s v="Chairs"/>
    <x v="48"/>
    <n v="5"/>
    <n v="0.3"/>
    <n v="-17.745000000000001"/>
  </r>
  <r>
    <s v="5/3/2016"/>
    <s v="East"/>
    <x v="2"/>
    <s v="Appliances"/>
    <x v="49"/>
    <n v="2"/>
    <n v="0.2"/>
    <n v="6.5164"/>
  </r>
  <r>
    <s v="12/7/2015"/>
    <s v="West"/>
    <x v="2"/>
    <s v="Paper"/>
    <x v="50"/>
    <n v="3"/>
    <n v="0"/>
    <n v="80.791200000000003"/>
  </r>
  <r>
    <s v="11/17/2018"/>
    <s v="East"/>
    <x v="2"/>
    <s v="Binders"/>
    <x v="51"/>
    <n v="6"/>
    <n v="0"/>
    <n v="20.585999999999999"/>
  </r>
  <r>
    <s v="10/23/2017"/>
    <s v="East"/>
    <x v="2"/>
    <s v="Paper"/>
    <x v="52"/>
    <n v="10"/>
    <n v="0"/>
    <n v="178.31800000000001"/>
  </r>
  <r>
    <s v="8/29/2017"/>
    <s v="Central"/>
    <x v="2"/>
    <s v="Binders"/>
    <x v="53"/>
    <n v="3"/>
    <n v="0.8"/>
    <n v="-3.0396000000000001"/>
  </r>
  <r>
    <s v="7/22/2017"/>
    <s v="West"/>
    <x v="2"/>
    <s v="Supplies"/>
    <x v="54"/>
    <n v="5"/>
    <n v="0"/>
    <n v="24.998000000000001"/>
  </r>
  <r>
    <s v="9/9/2018"/>
    <s v="West"/>
    <x v="0"/>
    <s v="Chairs"/>
    <x v="55"/>
    <n v="5"/>
    <n v="0.2"/>
    <n v="-15.244999999999999"/>
  </r>
  <r>
    <s v="4/1/2017"/>
    <s v="East"/>
    <x v="2"/>
    <s v="Labels"/>
    <x v="56"/>
    <n v="2"/>
    <n v="0"/>
    <n v="9.9359999999999999"/>
  </r>
  <r>
    <s v="4/26/2015"/>
    <s v="West"/>
    <x v="0"/>
    <s v="Chairs"/>
    <x v="57"/>
    <n v="3"/>
    <n v="0.2"/>
    <n v="23.027999999999999"/>
  </r>
  <r>
    <s v="4/28/2015"/>
    <s v="West"/>
    <x v="1"/>
    <s v="Phones"/>
    <x v="58"/>
    <n v="5"/>
    <n v="0.2"/>
    <n v="125.997"/>
  </r>
  <r>
    <s v="5/7/2016"/>
    <s v="Central"/>
    <x v="0"/>
    <s v="Tables"/>
    <x v="59"/>
    <n v="2"/>
    <n v="0.3"/>
    <n v="-31.372199999999999"/>
  </r>
  <r>
    <s v="12/27/2016"/>
    <s v="Central"/>
    <x v="0"/>
    <s v="Chairs"/>
    <x v="60"/>
    <n v="3"/>
    <n v="0.3"/>
    <n v="-15.147"/>
  </r>
  <r>
    <s v="1/19/2018"/>
    <s v="East"/>
    <x v="2"/>
    <s v="Paper"/>
    <x v="61"/>
    <n v="4"/>
    <n v="0.2"/>
    <n v="7.0511999999999997"/>
  </r>
  <r>
    <s v="11/12/2015"/>
    <s v="Central"/>
    <x v="0"/>
    <s v="Bookcases"/>
    <x v="62"/>
    <n v="1"/>
    <n v="0.32"/>
    <n v="-12.998699999999999"/>
  </r>
  <r>
    <s v="4/9/2017"/>
    <s v="Central"/>
    <x v="1"/>
    <s v="Phones"/>
    <x v="63"/>
    <n v="2"/>
    <n v="0"/>
    <n v="134.654"/>
  </r>
  <r>
    <s v="3/22/2016"/>
    <s v="West"/>
    <x v="1"/>
    <s v="Phones"/>
    <x v="64"/>
    <n v="2"/>
    <n v="0.2"/>
    <n v="1.1988000000000001"/>
  </r>
  <r>
    <s v="10/30/2018"/>
    <s v="West"/>
    <x v="2"/>
    <s v="Binders"/>
    <x v="65"/>
    <n v="2"/>
    <n v="0.2"/>
    <n v="5.2140000000000004"/>
  </r>
  <r>
    <s v="10/1/2018"/>
    <s v="West"/>
    <x v="2"/>
    <s v="Appliances"/>
    <x v="66"/>
    <n v="2"/>
    <n v="0"/>
    <n v="60.49"/>
  </r>
  <r>
    <s v="5/31/2016"/>
    <s v="East"/>
    <x v="2"/>
    <s v="Paper"/>
    <x v="67"/>
    <n v="5"/>
    <n v="0"/>
    <n v="134.65199999999999"/>
  </r>
  <r>
    <s v="12/14/2016"/>
    <s v="West"/>
    <x v="2"/>
    <s v="Paper"/>
    <x v="68"/>
    <n v="1"/>
    <n v="0"/>
    <n v="3.1103999999999998"/>
  </r>
  <r>
    <s v="10/21/2018"/>
    <s v="Central"/>
    <x v="2"/>
    <s v="Appliances"/>
    <x v="69"/>
    <n v="2"/>
    <n v="0.8"/>
    <n v="-62.379199999999997"/>
  </r>
  <r>
    <s v="10/27/2018"/>
    <s v="West"/>
    <x v="0"/>
    <s v="Bookcases"/>
    <x v="70"/>
    <n v="5"/>
    <n v="0.15"/>
    <n v="6.5490000000000004"/>
  </r>
  <r>
    <s v="12/19/2018"/>
    <s v="West"/>
    <x v="0"/>
    <s v="Furnishings"/>
    <x v="71"/>
    <n v="5"/>
    <n v="0.2"/>
    <n v="4.008"/>
  </r>
  <r>
    <s v="10/4/2017"/>
    <s v="Central"/>
    <x v="2"/>
    <s v="Envelopes"/>
    <x v="72"/>
    <n v="7"/>
    <n v="0.2"/>
    <n v="19.4194"/>
  </r>
  <r>
    <s v="9/29/2015"/>
    <s v="West"/>
    <x v="2"/>
    <s v="Storage"/>
    <x v="73"/>
    <n v="5"/>
    <n v="0"/>
    <n v="153.4725"/>
  </r>
  <r>
    <s v="10/28/2018"/>
    <s v="East"/>
    <x v="2"/>
    <s v="Labels"/>
    <x v="74"/>
    <n v="3"/>
    <n v="0"/>
    <n v="10.3071"/>
  </r>
  <r>
    <s v="9/22/2018"/>
    <s v="Central"/>
    <x v="1"/>
    <s v="Phones"/>
    <x v="75"/>
    <n v="3"/>
    <n v="0"/>
    <n v="25.221299999999999"/>
  </r>
  <r>
    <s v="9/20/2017"/>
    <s v="West"/>
    <x v="2"/>
    <s v="Binders"/>
    <x v="76"/>
    <n v="2"/>
    <n v="0.2"/>
    <n v="88.394800000000004"/>
  </r>
  <r>
    <s v="12/8/2017"/>
    <s v="Central"/>
    <x v="1"/>
    <s v="Phones"/>
    <x v="77"/>
    <n v="7"/>
    <n v="0.2"/>
    <n v="123.47369999999999"/>
  </r>
  <r>
    <s v="10/16/2016"/>
    <s v="East"/>
    <x v="1"/>
    <s v="Phones"/>
    <x v="78"/>
    <n v="3"/>
    <n v="0"/>
    <n v="214.4922"/>
  </r>
  <r>
    <s v="11/23/2018"/>
    <s v="South"/>
    <x v="1"/>
    <s v="Phones"/>
    <x v="79"/>
    <n v="1"/>
    <n v="0.2"/>
    <n v="2.0994000000000002"/>
  </r>
  <r>
    <s v="10/9/2016"/>
    <s v="Central"/>
    <x v="0"/>
    <s v="Chairs"/>
    <x v="80"/>
    <n v="3"/>
    <n v="0"/>
    <n v="35.097299999999997"/>
  </r>
  <r>
    <s v="11/16/2016"/>
    <s v="East"/>
    <x v="2"/>
    <s v="Appliances"/>
    <x v="81"/>
    <n v="5"/>
    <n v="0"/>
    <n v="141.2775"/>
  </r>
  <r>
    <s v="3/12/2018"/>
    <s v="West"/>
    <x v="2"/>
    <s v="Storage"/>
    <x v="82"/>
    <n v="3"/>
    <n v="0"/>
    <n v="9.7175999999999991"/>
  </r>
  <r>
    <s v="12/23/2016"/>
    <s v="South"/>
    <x v="2"/>
    <s v="Appliances"/>
    <x v="83"/>
    <n v="4"/>
    <n v="0"/>
    <n v="56.352800000000002"/>
  </r>
  <r>
    <s v="3/17/2018"/>
    <s v="East"/>
    <x v="2"/>
    <s v="Storage"/>
    <x v="84"/>
    <n v="8"/>
    <n v="0"/>
    <n v="27.9344"/>
  </r>
  <r>
    <s v="11/4/2017"/>
    <s v="West"/>
    <x v="1"/>
    <s v="Machines"/>
    <x v="85"/>
    <n v="2"/>
    <n v="0.2"/>
    <n v="77.22"/>
  </r>
  <r>
    <s v="9/21/2015"/>
    <s v="West"/>
    <x v="2"/>
    <s v="Paper"/>
    <x v="86"/>
    <n v="3"/>
    <n v="0"/>
    <n v="9.4815000000000005"/>
  </r>
  <r>
    <s v="9/6/2017"/>
    <s v="East"/>
    <x v="1"/>
    <s v="Accessories"/>
    <x v="87"/>
    <n v="2"/>
    <n v="0"/>
    <n v="11.151"/>
  </r>
  <r>
    <s v="9/5/2018"/>
    <s v="South"/>
    <x v="2"/>
    <s v="Storage"/>
    <x v="88"/>
    <n v="2"/>
    <n v="0.2"/>
    <n v="-29.436800000000002"/>
  </r>
  <r>
    <s v="11/11/2017"/>
    <s v="Central"/>
    <x v="0"/>
    <s v="Chairs"/>
    <x v="89"/>
    <n v="2"/>
    <n v="0.3"/>
    <n v="-2.0568"/>
  </r>
  <r>
    <s v="9/11/2018"/>
    <s v="West"/>
    <x v="0"/>
    <s v="Furnishings"/>
    <x v="90"/>
    <n v="4"/>
    <n v="0"/>
    <n v="11.6496"/>
  </r>
  <r>
    <s v="10/29/2015"/>
    <s v="Central"/>
    <x v="1"/>
    <s v="Phones"/>
    <x v="91"/>
    <n v="6"/>
    <n v="0.2"/>
    <n v="341.99400000000003"/>
  </r>
  <r>
    <s v="8/4/2018"/>
    <s v="West"/>
    <x v="2"/>
    <s v="Envelopes"/>
    <x v="92"/>
    <n v="1"/>
    <n v="0.2"/>
    <n v="3.1842000000000001"/>
  </r>
  <r>
    <s v="11/27/2016"/>
    <s v="West"/>
    <x v="1"/>
    <s v="Accessories"/>
    <x v="93"/>
    <n v="3"/>
    <n v="0"/>
    <n v="22.6737"/>
  </r>
  <r>
    <s v="10/9/2018"/>
    <s v="East"/>
    <x v="2"/>
    <s v="Binders"/>
    <x v="94"/>
    <n v="3"/>
    <n v="0.2"/>
    <n v="4.3254000000000001"/>
  </r>
  <r>
    <s v="6/21/2015"/>
    <s v="East"/>
    <x v="2"/>
    <s v="Art"/>
    <x v="95"/>
    <n v="5"/>
    <n v="0"/>
    <n v="6.2060000000000004"/>
  </r>
  <r>
    <s v="11/22/2015"/>
    <s v="Central"/>
    <x v="2"/>
    <s v="Binders"/>
    <x v="96"/>
    <n v="1"/>
    <n v="0.8"/>
    <n v="-11.0848"/>
  </r>
  <r>
    <s v="7/22/2015"/>
    <s v="East"/>
    <x v="1"/>
    <s v="Accessories"/>
    <x v="97"/>
    <n v="2"/>
    <n v="0"/>
    <n v="57.592799999999997"/>
  </r>
  <r>
    <s v="11/17/2015"/>
    <s v="East"/>
    <x v="2"/>
    <s v="Paper"/>
    <x v="98"/>
    <n v="3"/>
    <n v="0"/>
    <n v="17.22"/>
  </r>
  <r>
    <s v="9/10/2016"/>
    <s v="East"/>
    <x v="2"/>
    <s v="Appliances"/>
    <x v="99"/>
    <n v="2"/>
    <n v="0"/>
    <n v="16.1096"/>
  </r>
  <r>
    <s v="11/14/2018"/>
    <s v="West"/>
    <x v="0"/>
    <s v="Chairs"/>
    <x v="100"/>
    <n v="2"/>
    <n v="0.2"/>
    <n v="28.1372"/>
  </r>
  <r>
    <s v="9/24/2018"/>
    <s v="Central"/>
    <x v="0"/>
    <s v="Chairs"/>
    <x v="101"/>
    <n v="4"/>
    <n v="0"/>
    <n v="181.17599999999999"/>
  </r>
  <r>
    <s v="11/10/2017"/>
    <s v="West"/>
    <x v="2"/>
    <s v="Storage"/>
    <x v="102"/>
    <n v="1"/>
    <n v="0"/>
    <n v="4.4610000000000003"/>
  </r>
  <r>
    <s v="5/14/2016"/>
    <s v="East"/>
    <x v="2"/>
    <s v="Art"/>
    <x v="103"/>
    <n v="8"/>
    <n v="0.2"/>
    <n v="17.348800000000001"/>
  </r>
  <r>
    <s v="12/24/2015"/>
    <s v="East"/>
    <x v="0"/>
    <s v="Furnishings"/>
    <x v="104"/>
    <n v="5"/>
    <n v="0.2"/>
    <n v="8.7285000000000004"/>
  </r>
  <r>
    <s v="12/7/2016"/>
    <s v="East"/>
    <x v="1"/>
    <s v="Phones"/>
    <x v="105"/>
    <n v="6"/>
    <n v="0"/>
    <n v="224.4426"/>
  </r>
  <r>
    <s v="6/12/2017"/>
    <s v="West"/>
    <x v="2"/>
    <s v="Paper"/>
    <x v="32"/>
    <n v="2"/>
    <n v="0"/>
    <n v="6.2207999999999997"/>
  </r>
  <r>
    <s v="12/10/2018"/>
    <s v="West"/>
    <x v="0"/>
    <s v="Tables"/>
    <x v="106"/>
    <n v="4"/>
    <n v="0"/>
    <n v="116.872"/>
  </r>
  <r>
    <s v="4/30/2018"/>
    <s v="East"/>
    <x v="2"/>
    <s v="Binders"/>
    <x v="107"/>
    <n v="3"/>
    <n v="0.7"/>
    <n v="-9.2639999999999993"/>
  </r>
  <r>
    <s v="9/25/2017"/>
    <s v="West"/>
    <x v="1"/>
    <s v="Phones"/>
    <x v="108"/>
    <n v="8"/>
    <n v="0.2"/>
    <n v="4.4736000000000002"/>
  </r>
  <r>
    <s v="11/4/2018"/>
    <s v="South"/>
    <x v="1"/>
    <s v="Accessories"/>
    <x v="109"/>
    <n v="3"/>
    <n v="0.2"/>
    <n v="15.5961"/>
  </r>
  <r>
    <s v="11/28/2015"/>
    <s v="South"/>
    <x v="2"/>
    <s v="Binders"/>
    <x v="110"/>
    <n v="3"/>
    <n v="0"/>
    <n v="22.3734"/>
  </r>
  <r>
    <s v="12/19/2015"/>
    <s v="South"/>
    <x v="2"/>
    <s v="Binders"/>
    <x v="111"/>
    <n v="2"/>
    <n v="0.7"/>
    <n v="-3.6892"/>
  </r>
  <r>
    <s v="3/14/2015"/>
    <s v="West"/>
    <x v="2"/>
    <s v="Art"/>
    <x v="112"/>
    <n v="1"/>
    <n v="0"/>
    <n v="1.2505999999999999"/>
  </r>
  <r>
    <s v="10/28/2018"/>
    <s v="South"/>
    <x v="2"/>
    <s v="Storage"/>
    <x v="88"/>
    <n v="2"/>
    <n v="0.2"/>
    <n v="-29.436800000000002"/>
  </r>
  <r>
    <s v="4/25/2015"/>
    <s v="West"/>
    <x v="2"/>
    <s v="Appliances"/>
    <x v="113"/>
    <n v="3"/>
    <n v="0"/>
    <n v="78.508799999999994"/>
  </r>
  <r>
    <s v="6/8/2018"/>
    <s v="East"/>
    <x v="2"/>
    <s v="Binders"/>
    <x v="114"/>
    <n v="2"/>
    <n v="0"/>
    <n v="5.0763999999999996"/>
  </r>
  <r>
    <s v="11/26/2016"/>
    <s v="East"/>
    <x v="2"/>
    <s v="Binders"/>
    <x v="115"/>
    <n v="4"/>
    <n v="0"/>
    <n v="30.52"/>
  </r>
  <r>
    <s v="9/2/2018"/>
    <s v="East"/>
    <x v="2"/>
    <s v="Storage"/>
    <x v="116"/>
    <n v="1"/>
    <n v="0"/>
    <n v="2.8340000000000001"/>
  </r>
  <r>
    <s v="9/1/2018"/>
    <s v="West"/>
    <x v="2"/>
    <s v="Binders"/>
    <x v="117"/>
    <n v="5"/>
    <n v="0.2"/>
    <n v="8.0220000000000002"/>
  </r>
  <r>
    <s v="9/19/2017"/>
    <s v="South"/>
    <x v="2"/>
    <s v="Supplies"/>
    <x v="118"/>
    <n v="2"/>
    <n v="0"/>
    <n v="0.1512"/>
  </r>
  <r>
    <s v="2/17/2018"/>
    <s v="Central"/>
    <x v="1"/>
    <s v="Phones"/>
    <x v="119"/>
    <n v="1"/>
    <n v="0.2"/>
    <n v="10.9193"/>
  </r>
  <r>
    <s v="9/22/2018"/>
    <s v="Central"/>
    <x v="0"/>
    <s v="Bookcases"/>
    <x v="66"/>
    <n v="2"/>
    <n v="0"/>
    <n v="41.133200000000002"/>
  </r>
  <r>
    <s v="5/20/2018"/>
    <s v="Central"/>
    <x v="2"/>
    <s v="Art"/>
    <x v="120"/>
    <n v="10"/>
    <n v="0"/>
    <n v="7.0949999999999998"/>
  </r>
  <r>
    <s v="12/8/2018"/>
    <s v="West"/>
    <x v="0"/>
    <s v="Tables"/>
    <x v="121"/>
    <n v="7"/>
    <n v="0.2"/>
    <n v="-112.95269999999999"/>
  </r>
  <r>
    <s v="12/5/2018"/>
    <s v="Central"/>
    <x v="2"/>
    <s v="Appliances"/>
    <x v="122"/>
    <n v="3"/>
    <n v="0"/>
    <n v="16.588799999999999"/>
  </r>
  <r>
    <s v="5/26/2017"/>
    <s v="South"/>
    <x v="1"/>
    <s v="Accessories"/>
    <x v="123"/>
    <n v="2"/>
    <n v="0.2"/>
    <n v="11.98"/>
  </r>
  <r>
    <s v="10/21/2017"/>
    <s v="East"/>
    <x v="2"/>
    <s v="Binders"/>
    <x v="124"/>
    <n v="4"/>
    <n v="0"/>
    <n v="3.5640000000000001"/>
  </r>
  <r>
    <s v="11/17/2018"/>
    <s v="East"/>
    <x v="1"/>
    <s v="Copiers"/>
    <x v="125"/>
    <n v="3"/>
    <n v="0"/>
    <n v="5039.9856"/>
  </r>
  <r>
    <s v="11/21/2018"/>
    <s v="West"/>
    <x v="2"/>
    <s v="Appliances"/>
    <x v="126"/>
    <n v="1"/>
    <n v="0"/>
    <n v="2.2412000000000001"/>
  </r>
  <r>
    <s v="10/30/2017"/>
    <s v="West"/>
    <x v="2"/>
    <s v="Fasteners"/>
    <x v="127"/>
    <n v="2"/>
    <n v="0"/>
    <n v="1.1946000000000001"/>
  </r>
  <r>
    <s v="9/20/2017"/>
    <s v="Central"/>
    <x v="2"/>
    <s v="Binders"/>
    <x v="128"/>
    <n v="5"/>
    <n v="0"/>
    <n v="41.012999999999998"/>
  </r>
  <r>
    <s v="11/12/2015"/>
    <s v="Central"/>
    <x v="0"/>
    <s v="Furnishings"/>
    <x v="129"/>
    <n v="3"/>
    <n v="0.6"/>
    <n v="-6.9101999999999997"/>
  </r>
  <r>
    <s v="7/31/2018"/>
    <s v="East"/>
    <x v="2"/>
    <s v="Paper"/>
    <x v="130"/>
    <n v="1"/>
    <n v="0"/>
    <n v="5.5392000000000001"/>
  </r>
  <r>
    <s v="7/23/2018"/>
    <s v="Central"/>
    <x v="2"/>
    <s v="Paper"/>
    <x v="131"/>
    <n v="3"/>
    <n v="0.2"/>
    <n v="20.5764"/>
  </r>
  <r>
    <s v="12/5/2015"/>
    <s v="East"/>
    <x v="2"/>
    <s v="Envelopes"/>
    <x v="132"/>
    <n v="7"/>
    <n v="0.2"/>
    <n v="117.6147"/>
  </r>
  <r>
    <s v="3/11/2018"/>
    <s v="East"/>
    <x v="1"/>
    <s v="Accessories"/>
    <x v="133"/>
    <n v="4"/>
    <n v="0"/>
    <n v="24.9132"/>
  </r>
  <r>
    <s v="10/15/2017"/>
    <s v="Central"/>
    <x v="2"/>
    <s v="Binders"/>
    <x v="134"/>
    <n v="4"/>
    <n v="0"/>
    <n v="55.936"/>
  </r>
  <r>
    <s v="6/8/2016"/>
    <s v="South"/>
    <x v="2"/>
    <s v="Labels"/>
    <x v="135"/>
    <n v="3"/>
    <n v="0.2"/>
    <n v="3.15"/>
  </r>
  <r>
    <s v="10/5/2018"/>
    <s v="West"/>
    <x v="1"/>
    <s v="Phones"/>
    <x v="136"/>
    <n v="1"/>
    <n v="0.2"/>
    <n v="2.6972999999999998"/>
  </r>
  <r>
    <s v="7/26/2016"/>
    <s v="West"/>
    <x v="2"/>
    <s v="Art"/>
    <x v="137"/>
    <n v="5"/>
    <n v="0"/>
    <n v="25.792000000000002"/>
  </r>
  <r>
    <s v="12/25/2017"/>
    <s v="West"/>
    <x v="1"/>
    <s v="Phones"/>
    <x v="138"/>
    <n v="7"/>
    <n v="0.2"/>
    <n v="257.59440000000001"/>
  </r>
  <r>
    <s v="11/13/2016"/>
    <s v="West"/>
    <x v="0"/>
    <s v="Bookcases"/>
    <x v="139"/>
    <n v="4"/>
    <n v="0.15"/>
    <n v="-40.195999999999998"/>
  </r>
  <r>
    <s v="9/13/2017"/>
    <s v="Central"/>
    <x v="1"/>
    <s v="Phones"/>
    <x v="140"/>
    <n v="5"/>
    <n v="0"/>
    <n v="41.985999999999997"/>
  </r>
  <r>
    <s v="6/13/2016"/>
    <s v="South"/>
    <x v="1"/>
    <s v="Copiers"/>
    <x v="141"/>
    <n v="3"/>
    <n v="0"/>
    <n v="314.98950000000002"/>
  </r>
  <r>
    <s v="10/14/2018"/>
    <s v="Central"/>
    <x v="2"/>
    <s v="Binders"/>
    <x v="142"/>
    <n v="1"/>
    <n v="0.8"/>
    <n v="-23.547999999999998"/>
  </r>
  <r>
    <s v="6/8/2018"/>
    <s v="West"/>
    <x v="2"/>
    <s v="Binders"/>
    <x v="143"/>
    <n v="2"/>
    <n v="0.7"/>
    <n v="-48.392000000000003"/>
  </r>
  <r>
    <s v="12/17/2015"/>
    <s v="South"/>
    <x v="2"/>
    <s v="Art"/>
    <x v="144"/>
    <n v="3"/>
    <n v="0"/>
    <n v="11.214"/>
  </r>
  <r>
    <s v="12/3/2018"/>
    <s v="South"/>
    <x v="2"/>
    <s v="Appliances"/>
    <x v="145"/>
    <n v="3"/>
    <n v="0.2"/>
    <n v="4.5216000000000003"/>
  </r>
  <r>
    <s v="5/25/2016"/>
    <s v="Central"/>
    <x v="2"/>
    <s v="Paper"/>
    <x v="146"/>
    <n v="7"/>
    <n v="0.2"/>
    <n v="11.7334"/>
  </r>
  <r>
    <s v="3/21/2015"/>
    <s v="South"/>
    <x v="0"/>
    <s v="Chairs"/>
    <x v="147"/>
    <n v="3"/>
    <n v="0.2"/>
    <n v="-10.918799999999999"/>
  </r>
  <r>
    <s v="11/30/2015"/>
    <s v="West"/>
    <x v="2"/>
    <s v="Supplies"/>
    <x v="89"/>
    <n v="7"/>
    <n v="0.2"/>
    <n v="3.5994000000000002"/>
  </r>
  <r>
    <s v="3/3/2015"/>
    <s v="East"/>
    <x v="2"/>
    <s v="Labels"/>
    <x v="148"/>
    <n v="3"/>
    <n v="0.2"/>
    <n v="4.9139999999999997"/>
  </r>
  <r>
    <s v="6/2/2018"/>
    <s v="East"/>
    <x v="1"/>
    <s v="Phones"/>
    <x v="149"/>
    <n v="1"/>
    <n v="0.4"/>
    <n v="-0.64349999999999996"/>
  </r>
  <r>
    <s v="2/2/2017"/>
    <s v="South"/>
    <x v="0"/>
    <s v="Furnishings"/>
    <x v="150"/>
    <n v="7"/>
    <n v="0"/>
    <n v="7.1021999999999998"/>
  </r>
  <r>
    <s v="1/11/2017"/>
    <s v="East"/>
    <x v="0"/>
    <s v="Furnishings"/>
    <x v="151"/>
    <n v="14"/>
    <n v="0.2"/>
    <n v="8.9361999999999995"/>
  </r>
  <r>
    <s v="8/11/2016"/>
    <s v="East"/>
    <x v="1"/>
    <s v="Phones"/>
    <x v="152"/>
    <n v="2"/>
    <n v="0"/>
    <n v="34.5"/>
  </r>
  <r>
    <s v="8/24/2015"/>
    <s v="East"/>
    <x v="2"/>
    <s v="Binders"/>
    <x v="153"/>
    <n v="3"/>
    <n v="0.2"/>
    <n v="4.4352"/>
  </r>
  <r>
    <s v="9/29/2015"/>
    <s v="West"/>
    <x v="2"/>
    <s v="Storage"/>
    <x v="154"/>
    <n v="1"/>
    <n v="0"/>
    <n v="16.788599999999999"/>
  </r>
  <r>
    <s v="12/11/2018"/>
    <s v="South"/>
    <x v="0"/>
    <s v="Tables"/>
    <x v="155"/>
    <n v="6"/>
    <n v="0.45"/>
    <n v="-420"/>
  </r>
  <r>
    <s v="7/18/2018"/>
    <s v="West"/>
    <x v="0"/>
    <s v="Tables"/>
    <x v="156"/>
    <n v="5"/>
    <n v="0.5"/>
    <n v="-448.89600000000002"/>
  </r>
  <r>
    <s v="11/13/2018"/>
    <s v="Central"/>
    <x v="2"/>
    <s v="Storage"/>
    <x v="157"/>
    <n v="4"/>
    <n v="0.2"/>
    <n v="6.1791999999999998"/>
  </r>
  <r>
    <s v="12/14/2015"/>
    <s v="East"/>
    <x v="2"/>
    <s v="Art"/>
    <x v="158"/>
    <n v="1"/>
    <n v="0.2"/>
    <n v="0.29520000000000002"/>
  </r>
  <r>
    <s v="5/9/2018"/>
    <s v="West"/>
    <x v="2"/>
    <s v="Binders"/>
    <x v="159"/>
    <n v="5"/>
    <n v="0.2"/>
    <n v="46.225000000000001"/>
  </r>
  <r>
    <s v="4/26/2015"/>
    <s v="West"/>
    <x v="2"/>
    <s v="Labels"/>
    <x v="160"/>
    <n v="2"/>
    <n v="0"/>
    <n v="5.7960000000000003"/>
  </r>
  <r>
    <s v="1/16/2018"/>
    <s v="West"/>
    <x v="0"/>
    <s v="Furnishings"/>
    <x v="161"/>
    <n v="4"/>
    <n v="0"/>
    <n v="8.0968"/>
  </r>
  <r>
    <s v="12/16/2015"/>
    <s v="Central"/>
    <x v="1"/>
    <s v="Accessories"/>
    <x v="162"/>
    <n v="4"/>
    <n v="0.2"/>
    <n v="95.990399999999994"/>
  </r>
  <r>
    <s v="6/6/2015"/>
    <s v="Central"/>
    <x v="2"/>
    <s v="Envelopes"/>
    <x v="163"/>
    <n v="2"/>
    <n v="0.2"/>
    <n v="4.7195999999999998"/>
  </r>
  <r>
    <s v="6/21/2015"/>
    <s v="East"/>
    <x v="1"/>
    <s v="Phones"/>
    <x v="164"/>
    <n v="7"/>
    <n v="0"/>
    <n v="357.19110000000001"/>
  </r>
  <r>
    <s v="4/16/2017"/>
    <s v="East"/>
    <x v="1"/>
    <s v="Machines"/>
    <x v="165"/>
    <n v="7"/>
    <n v="0"/>
    <n v="2365.9818"/>
  </r>
  <r>
    <s v="6/3/2018"/>
    <s v="West"/>
    <x v="2"/>
    <s v="Paper"/>
    <x v="166"/>
    <n v="2"/>
    <n v="0"/>
    <n v="5.3819999999999997"/>
  </r>
  <r>
    <s v="12/19/2016"/>
    <s v="East"/>
    <x v="1"/>
    <s v="Accessories"/>
    <x v="167"/>
    <n v="9"/>
    <n v="0"/>
    <n v="517.47929999999997"/>
  </r>
  <r>
    <s v="8/12/2015"/>
    <s v="South"/>
    <x v="2"/>
    <s v="Supplies"/>
    <x v="168"/>
    <n v="2"/>
    <n v="0.2"/>
    <n v="-1.0409999999999999"/>
  </r>
  <r>
    <s v="12/9/2015"/>
    <s v="West"/>
    <x v="2"/>
    <s v="Storage"/>
    <x v="169"/>
    <n v="6"/>
    <n v="0.2"/>
    <n v="-1.2587999999999999"/>
  </r>
  <r>
    <s v="8/15/2017"/>
    <s v="West"/>
    <x v="1"/>
    <s v="Phones"/>
    <x v="170"/>
    <n v="3"/>
    <n v="0.2"/>
    <n v="7.1976000000000004"/>
  </r>
  <r>
    <s v="11/21/2017"/>
    <s v="East"/>
    <x v="0"/>
    <s v="Furnishings"/>
    <x v="171"/>
    <n v="3"/>
    <n v="0.2"/>
    <n v="15.590400000000001"/>
  </r>
  <r>
    <s v="7/12/2015"/>
    <s v="West"/>
    <x v="2"/>
    <s v="Binders"/>
    <x v="172"/>
    <n v="4"/>
    <n v="0.2"/>
    <n v="3.8016000000000001"/>
  </r>
  <r>
    <s v="4/17/2018"/>
    <s v="West"/>
    <x v="1"/>
    <s v="Machines"/>
    <x v="173"/>
    <n v="5"/>
    <n v="0.7"/>
    <n v="-3399.98"/>
  </r>
  <r>
    <s v="6/22/2016"/>
    <s v="Central"/>
    <x v="0"/>
    <s v="Tables"/>
    <x v="174"/>
    <n v="7"/>
    <n v="0.5"/>
    <n v="-525.64049999999997"/>
  </r>
  <r>
    <s v="5/4/2016"/>
    <s v="East"/>
    <x v="0"/>
    <s v="Furnishings"/>
    <x v="175"/>
    <n v="2"/>
    <n v="0"/>
    <n v="12.864000000000001"/>
  </r>
  <r>
    <s v="8/9/2016"/>
    <s v="Central"/>
    <x v="0"/>
    <s v="Bookcases"/>
    <x v="176"/>
    <n v="5"/>
    <n v="0"/>
    <n v="48.118000000000002"/>
  </r>
  <r>
    <s v="3/9/2016"/>
    <s v="South"/>
    <x v="2"/>
    <s v="Labels"/>
    <x v="177"/>
    <n v="2"/>
    <n v="0.2"/>
    <n v="1.6704000000000001"/>
  </r>
  <r>
    <s v="6/7/2016"/>
    <s v="East"/>
    <x v="2"/>
    <s v="Art"/>
    <x v="178"/>
    <n v="3"/>
    <n v="0.2"/>
    <n v="1.002"/>
  </r>
  <r>
    <s v="9/9/2015"/>
    <s v="East"/>
    <x v="0"/>
    <s v="Furnishings"/>
    <x v="179"/>
    <n v="6"/>
    <n v="0.2"/>
    <n v="12.892799999999999"/>
  </r>
  <r>
    <s v="11/2/2018"/>
    <s v="Central"/>
    <x v="2"/>
    <s v="Appliances"/>
    <x v="180"/>
    <n v="10"/>
    <n v="0"/>
    <n v="20.975000000000001"/>
  </r>
  <r>
    <s v="10/15/2017"/>
    <s v="South"/>
    <x v="2"/>
    <s v="Binders"/>
    <x v="181"/>
    <n v="7"/>
    <n v="0"/>
    <n v="116.48"/>
  </r>
  <r>
    <s v="3/28/2017"/>
    <s v="West"/>
    <x v="2"/>
    <s v="Storage"/>
    <x v="182"/>
    <n v="4"/>
    <n v="0"/>
    <n v="0.87919999999999998"/>
  </r>
  <r>
    <s v="12/1/2018"/>
    <s v="West"/>
    <x v="1"/>
    <s v="Phones"/>
    <x v="183"/>
    <n v="2"/>
    <n v="0.2"/>
    <n v="9.2385999999999999"/>
  </r>
  <r>
    <s v="8/3/2018"/>
    <s v="West"/>
    <x v="2"/>
    <s v="Labels"/>
    <x v="184"/>
    <n v="5"/>
    <n v="0"/>
    <n v="24.84"/>
  </r>
  <r>
    <s v="10/16/2018"/>
    <s v="West"/>
    <x v="1"/>
    <s v="Machines"/>
    <x v="185"/>
    <n v="5"/>
    <n v="0.7"/>
    <n v="-479.988"/>
  </r>
  <r>
    <s v="10/22/2018"/>
    <s v="East"/>
    <x v="1"/>
    <s v="Phones"/>
    <x v="186"/>
    <n v="1"/>
    <n v="0"/>
    <n v="0.52990000000000004"/>
  </r>
  <r>
    <s v="1/10/2015"/>
    <s v="South"/>
    <x v="0"/>
    <s v="Furnishings"/>
    <x v="187"/>
    <n v="1"/>
    <n v="0"/>
    <n v="21.295400000000001"/>
  </r>
  <r>
    <s v="9/14/2015"/>
    <s v="South"/>
    <x v="0"/>
    <s v="Furnishings"/>
    <x v="188"/>
    <n v="3"/>
    <n v="0.2"/>
    <n v="3.7743000000000002"/>
  </r>
  <r>
    <s v="12/10/2017"/>
    <s v="West"/>
    <x v="2"/>
    <s v="Binders"/>
    <x v="189"/>
    <n v="3"/>
    <n v="0.2"/>
    <n v="51.823799999999999"/>
  </r>
  <r>
    <s v="3/18/2018"/>
    <s v="West"/>
    <x v="2"/>
    <s v="Envelopes"/>
    <x v="190"/>
    <n v="5"/>
    <n v="0"/>
    <n v="9.3119999999999994"/>
  </r>
  <r>
    <s v="6/25/2017"/>
    <s v="East"/>
    <x v="0"/>
    <s v="Chairs"/>
    <x v="191"/>
    <n v="3"/>
    <n v="0.3"/>
    <n v="-18.088200000000001"/>
  </r>
  <r>
    <s v="12/22/2018"/>
    <s v="West"/>
    <x v="1"/>
    <s v="Phones"/>
    <x v="192"/>
    <n v="4"/>
    <n v="0.2"/>
    <n v="6.7039999999999997"/>
  </r>
  <r>
    <s v="9/20/2018"/>
    <s v="East"/>
    <x v="2"/>
    <s v="Storage"/>
    <x v="193"/>
    <n v="4"/>
    <n v="0"/>
    <n v="12.712"/>
  </r>
  <r>
    <s v="7/20/2018"/>
    <s v="Central"/>
    <x v="2"/>
    <s v="Binders"/>
    <x v="194"/>
    <n v="2"/>
    <n v="0"/>
    <n v="331.19099999999997"/>
  </r>
  <r>
    <s v="5/23/2017"/>
    <s v="East"/>
    <x v="1"/>
    <s v="Copiers"/>
    <x v="195"/>
    <n v="4"/>
    <n v="0.4"/>
    <n v="1119.9967999999999"/>
  </r>
  <r>
    <s v="3/29/2017"/>
    <s v="East"/>
    <x v="1"/>
    <s v="Phones"/>
    <x v="196"/>
    <n v="4"/>
    <n v="0.4"/>
    <n v="-36.9544"/>
  </r>
  <r>
    <s v="3/4/2017"/>
    <s v="East"/>
    <x v="1"/>
    <s v="Accessories"/>
    <x v="97"/>
    <n v="2"/>
    <n v="0"/>
    <n v="57.592799999999997"/>
  </r>
  <r>
    <s v="12/4/2016"/>
    <s v="West"/>
    <x v="2"/>
    <s v="Envelopes"/>
    <x v="197"/>
    <n v="3"/>
    <n v="0"/>
    <n v="122.148"/>
  </r>
  <r>
    <s v="4/17/2018"/>
    <s v="West"/>
    <x v="2"/>
    <s v="Binders"/>
    <x v="198"/>
    <n v="6"/>
    <n v="0.7"/>
    <n v="-6.5735999999999999"/>
  </r>
  <r>
    <s v="11/11/2015"/>
    <s v="Central"/>
    <x v="0"/>
    <s v="Chairs"/>
    <x v="199"/>
    <n v="4"/>
    <n v="0.3"/>
    <n v="-56.996000000000002"/>
  </r>
  <r>
    <s v="3/1/2017"/>
    <s v="East"/>
    <x v="2"/>
    <s v="Storage"/>
    <x v="200"/>
    <n v="2"/>
    <n v="0"/>
    <n v="105.24679999999999"/>
  </r>
  <r>
    <s v="8/13/2017"/>
    <s v="South"/>
    <x v="2"/>
    <s v="Paper"/>
    <x v="47"/>
    <n v="3"/>
    <n v="0.2"/>
    <n v="3.21"/>
  </r>
  <r>
    <s v="5/19/2017"/>
    <s v="East"/>
    <x v="0"/>
    <s v="Furnishings"/>
    <x v="201"/>
    <n v="4"/>
    <n v="0"/>
    <n v="15.086399999999999"/>
  </r>
  <r>
    <s v="11/4/2017"/>
    <s v="West"/>
    <x v="0"/>
    <s v="Chairs"/>
    <x v="202"/>
    <n v="3"/>
    <n v="0.2"/>
    <n v="-97.552800000000005"/>
  </r>
  <r>
    <s v="11/5/2016"/>
    <s v="Central"/>
    <x v="2"/>
    <s v="Labels"/>
    <x v="203"/>
    <n v="6"/>
    <n v="0.2"/>
    <n v="6.4428000000000001"/>
  </r>
  <r>
    <s v="3/8/2018"/>
    <s v="South"/>
    <x v="2"/>
    <s v="Labels"/>
    <x v="56"/>
    <n v="2"/>
    <n v="0"/>
    <n v="9.9359999999999999"/>
  </r>
  <r>
    <s v="6/6/2017"/>
    <s v="West"/>
    <x v="2"/>
    <s v="Labels"/>
    <x v="204"/>
    <n v="7"/>
    <n v="0"/>
    <n v="10.584"/>
  </r>
  <r>
    <s v="9/5/2017"/>
    <s v="Central"/>
    <x v="0"/>
    <s v="Furnishings"/>
    <x v="205"/>
    <n v="3"/>
    <n v="0.6"/>
    <n v="-11.6622"/>
  </r>
  <r>
    <s v="6/11/2016"/>
    <s v="South"/>
    <x v="1"/>
    <s v="Accessories"/>
    <x v="206"/>
    <n v="6"/>
    <n v="0"/>
    <n v="10.202999999999999"/>
  </r>
  <r>
    <s v="9/7/2015"/>
    <s v="Central"/>
    <x v="2"/>
    <s v="Storage"/>
    <x v="207"/>
    <n v="2"/>
    <n v="0"/>
    <n v="5.7594000000000003"/>
  </r>
  <r>
    <s v="6/12/2016"/>
    <s v="East"/>
    <x v="2"/>
    <s v="Storage"/>
    <x v="208"/>
    <n v="5"/>
    <n v="0"/>
    <n v="5.0830000000000002"/>
  </r>
  <r>
    <s v="9/15/2016"/>
    <s v="South"/>
    <x v="2"/>
    <s v="Storage"/>
    <x v="209"/>
    <n v="2"/>
    <n v="0.2"/>
    <n v="2.1587999999999998"/>
  </r>
  <r>
    <s v="8/13/2017"/>
    <s v="South"/>
    <x v="2"/>
    <s v="Binders"/>
    <x v="210"/>
    <n v="8"/>
    <n v="0.7"/>
    <n v="-8.2368000000000006"/>
  </r>
  <r>
    <s v="10/31/2015"/>
    <s v="East"/>
    <x v="0"/>
    <s v="Tables"/>
    <x v="211"/>
    <n v="1"/>
    <n v="0.3"/>
    <n v="-60.607799999999997"/>
  </r>
  <r>
    <s v="4/17/2018"/>
    <s v="West"/>
    <x v="2"/>
    <s v="Labels"/>
    <x v="212"/>
    <n v="2"/>
    <n v="0"/>
    <n v="3.4685999999999999"/>
  </r>
  <r>
    <s v="3/12/2018"/>
    <s v="East"/>
    <x v="1"/>
    <s v="Phones"/>
    <x v="213"/>
    <n v="7"/>
    <n v="0"/>
    <n v="32.1678"/>
  </r>
  <r>
    <s v="9/17/2016"/>
    <s v="East"/>
    <x v="2"/>
    <s v="Art"/>
    <x v="214"/>
    <n v="2"/>
    <n v="0.2"/>
    <n v="3.5459999999999998"/>
  </r>
  <r>
    <s v="6/27/2018"/>
    <s v="East"/>
    <x v="0"/>
    <s v="Chairs"/>
    <x v="215"/>
    <n v="3"/>
    <n v="0.1"/>
    <n v="31.940999999999999"/>
  </r>
  <r>
    <s v="2/22/2017"/>
    <s v="Central"/>
    <x v="2"/>
    <s v="Appliances"/>
    <x v="216"/>
    <n v="9"/>
    <n v="0"/>
    <n v="137.28960000000001"/>
  </r>
  <r>
    <s v="9/7/2015"/>
    <s v="Central"/>
    <x v="2"/>
    <s v="Binders"/>
    <x v="217"/>
    <n v="2"/>
    <n v="0.8"/>
    <n v="-4.8179999999999996"/>
  </r>
  <r>
    <s v="6/1/2015"/>
    <s v="Central"/>
    <x v="2"/>
    <s v="Appliances"/>
    <x v="218"/>
    <n v="5"/>
    <n v="0.1"/>
    <n v="12.375999999999999"/>
  </r>
  <r>
    <s v="12/6/2016"/>
    <s v="West"/>
    <x v="2"/>
    <s v="Appliances"/>
    <x v="219"/>
    <n v="2"/>
    <n v="0"/>
    <n v="2.0228000000000002"/>
  </r>
  <r>
    <s v="9/14/2015"/>
    <s v="East"/>
    <x v="1"/>
    <s v="Phones"/>
    <x v="220"/>
    <n v="3"/>
    <n v="0"/>
    <n v="80.631600000000006"/>
  </r>
  <r>
    <s v="6/26/2018"/>
    <s v="East"/>
    <x v="2"/>
    <s v="Storage"/>
    <x v="221"/>
    <n v="3"/>
    <n v="0"/>
    <n v="0"/>
  </r>
  <r>
    <s v="1/2/2018"/>
    <s v="Central"/>
    <x v="2"/>
    <s v="Appliances"/>
    <x v="222"/>
    <n v="2"/>
    <n v="0.8"/>
    <n v="-13.58"/>
  </r>
  <r>
    <s v="4/4/2016"/>
    <s v="Central"/>
    <x v="1"/>
    <s v="Phones"/>
    <x v="223"/>
    <n v="1"/>
    <n v="0"/>
    <n v="0.438"/>
  </r>
  <r>
    <s v="3/27/2018"/>
    <s v="South"/>
    <x v="1"/>
    <s v="Phones"/>
    <x v="224"/>
    <n v="5"/>
    <n v="0"/>
    <n v="55.646999999999998"/>
  </r>
  <r>
    <s v="12/6/2015"/>
    <s v="West"/>
    <x v="0"/>
    <s v="Tables"/>
    <x v="225"/>
    <n v="1"/>
    <n v="0.5"/>
    <n v="-170.8038"/>
  </r>
  <r>
    <s v="7/7/2017"/>
    <s v="West"/>
    <x v="2"/>
    <s v="Art"/>
    <x v="226"/>
    <n v="2"/>
    <n v="0"/>
    <n v="12.8744"/>
  </r>
  <r>
    <s v="9/6/2015"/>
    <s v="West"/>
    <x v="2"/>
    <s v="Labels"/>
    <x v="227"/>
    <n v="8"/>
    <n v="0"/>
    <n v="27.485600000000002"/>
  </r>
  <r>
    <s v="11/16/2018"/>
    <s v="East"/>
    <x v="1"/>
    <s v="Accessories"/>
    <x v="228"/>
    <n v="5"/>
    <n v="0.2"/>
    <n v="-1.7495000000000001"/>
  </r>
  <r>
    <s v="5/28/2017"/>
    <s v="South"/>
    <x v="2"/>
    <s v="Art"/>
    <x v="229"/>
    <n v="6"/>
    <n v="0"/>
    <n v="50.187600000000003"/>
  </r>
  <r>
    <s v="11/14/2017"/>
    <s v="East"/>
    <x v="2"/>
    <s v="Art"/>
    <x v="230"/>
    <n v="1"/>
    <n v="0"/>
    <n v="6.149"/>
  </r>
  <r>
    <s v="9/8/2017"/>
    <s v="South"/>
    <x v="1"/>
    <s v="Accessories"/>
    <x v="231"/>
    <n v="4"/>
    <n v="0.2"/>
    <n v="8.3523999999999994"/>
  </r>
  <r>
    <s v="2/7/2016"/>
    <s v="South"/>
    <x v="2"/>
    <s v="Envelopes"/>
    <x v="232"/>
    <n v="5"/>
    <n v="0"/>
    <n v="146.2405"/>
  </r>
  <r>
    <s v="3/22/2017"/>
    <s v="West"/>
    <x v="1"/>
    <s v="Accessories"/>
    <x v="233"/>
    <n v="2"/>
    <n v="0"/>
    <n v="19.331399999999999"/>
  </r>
  <r>
    <s v="10/30/2018"/>
    <s v="South"/>
    <x v="2"/>
    <s v="Supplies"/>
    <x v="234"/>
    <n v="2"/>
    <n v="0"/>
    <n v="10.518000000000001"/>
  </r>
  <r>
    <s v="8/3/2015"/>
    <s v="East"/>
    <x v="2"/>
    <s v="Supplies"/>
    <x v="235"/>
    <n v="10"/>
    <n v="0"/>
    <n v="26.597999999999999"/>
  </r>
  <r>
    <s v="5/5/2017"/>
    <s v="South"/>
    <x v="2"/>
    <s v="Paper"/>
    <x v="236"/>
    <n v="4"/>
    <n v="0.2"/>
    <n v="31.4712"/>
  </r>
  <r>
    <s v="11/6/2018"/>
    <s v="West"/>
    <x v="2"/>
    <s v="Paper"/>
    <x v="237"/>
    <n v="3"/>
    <n v="0"/>
    <n v="28.171800000000001"/>
  </r>
  <r>
    <s v="12/25/2018"/>
    <s v="Central"/>
    <x v="2"/>
    <s v="Art"/>
    <x v="238"/>
    <n v="2"/>
    <n v="0.2"/>
    <n v="2.3807999999999998"/>
  </r>
  <r>
    <s v="9/12/2018"/>
    <s v="East"/>
    <x v="2"/>
    <s v="Paper"/>
    <x v="239"/>
    <n v="7"/>
    <n v="0"/>
    <n v="21.7728"/>
  </r>
  <r>
    <s v="11/18/2015"/>
    <s v="Central"/>
    <x v="0"/>
    <s v="Furnishings"/>
    <x v="240"/>
    <n v="2"/>
    <n v="0.6"/>
    <n v="-7.476"/>
  </r>
  <r>
    <s v="9/4/2017"/>
    <s v="South"/>
    <x v="2"/>
    <s v="Appliances"/>
    <x v="241"/>
    <n v="2"/>
    <n v="0.2"/>
    <n v="8.7167999999999992"/>
  </r>
  <r>
    <s v="5/31/2017"/>
    <s v="Central"/>
    <x v="0"/>
    <s v="Chairs"/>
    <x v="242"/>
    <n v="3"/>
    <n v="0.3"/>
    <n v="-38.215800000000002"/>
  </r>
  <r>
    <s v="2/17/2018"/>
    <s v="Central"/>
    <x v="0"/>
    <s v="Tables"/>
    <x v="243"/>
    <n v="3"/>
    <n v="0.5"/>
    <n v="-269.33760000000001"/>
  </r>
  <r>
    <s v="11/22/2015"/>
    <s v="South"/>
    <x v="2"/>
    <s v="Envelopes"/>
    <x v="244"/>
    <n v="3"/>
    <n v="0"/>
    <n v="7.9527000000000001"/>
  </r>
  <r>
    <s v="11/8/2016"/>
    <s v="East"/>
    <x v="2"/>
    <s v="Binders"/>
    <x v="245"/>
    <n v="11"/>
    <n v="0.2"/>
    <n v="17.6418"/>
  </r>
  <r>
    <s v="11/1/2016"/>
    <s v="South"/>
    <x v="0"/>
    <s v="Tables"/>
    <x v="246"/>
    <n v="2"/>
    <n v="0"/>
    <n v="45.293999999999997"/>
  </r>
  <r>
    <s v="9/18/2018"/>
    <s v="West"/>
    <x v="2"/>
    <s v="Binders"/>
    <x v="247"/>
    <n v="7"/>
    <n v="0.2"/>
    <n v="3.528"/>
  </r>
  <r>
    <s v="9/2/2015"/>
    <s v="South"/>
    <x v="2"/>
    <s v="Binders"/>
    <x v="248"/>
    <n v="2"/>
    <n v="0"/>
    <n v="843.17060000000004"/>
  </r>
  <r>
    <s v="11/19/2018"/>
    <s v="Central"/>
    <x v="0"/>
    <s v="Chairs"/>
    <x v="249"/>
    <n v="3"/>
    <n v="0.3"/>
    <n v="-53.270400000000002"/>
  </r>
  <r>
    <s v="12/17/2016"/>
    <s v="Central"/>
    <x v="2"/>
    <s v="Art"/>
    <x v="250"/>
    <n v="5"/>
    <n v="0.2"/>
    <n v="1.4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A3319-F39F-B941-BF01-F74D88735EE9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ategory">
  <location ref="A1:E5" firstHeaderRow="0" firstDataRow="1" firstDataCol="1"/>
  <pivotFields count="9">
    <pivotField showAll="0"/>
    <pivotField showAll="0"/>
    <pivotField axis="axisRow" showAll="0">
      <items count="4">
        <item x="0"/>
        <item n="Office Supplies" x="2"/>
        <item x="1"/>
        <item t="default"/>
      </items>
    </pivotField>
    <pivotField showAll="0"/>
    <pivotField dataField="1" numFmtId="44" showAll="0"/>
    <pivotField showAll="0"/>
    <pivotField dataField="1" numFmtId="9" showAll="0"/>
    <pivotField dataField="1" numFmtId="44" showAl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4" baseField="0" baseItem="0" numFmtId="44"/>
    <dataField name="Sum of Profit" fld="7" baseField="0" baseItem="0" numFmtId="44"/>
    <dataField name="Sum of Profit Margin" fld="8" baseField="0" baseItem="0" numFmtId="10"/>
    <dataField name="Average of Discount" fld="6" subtotal="average" baseField="0" baseItem="0" numFmtId="9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92AD3-56A6-6B48-9739-DF7E6E1C63C9}" name="SalesData" displayName="SalesData" ref="A1:H259" totalsRowShown="0">
  <autoFilter ref="A1:H259" xr:uid="{00000000-0001-0000-0000-000000000000}"/>
  <tableColumns count="8">
    <tableColumn id="1" xr3:uid="{56DEAF4E-8517-4749-B449-E7FD9A919CCE}" name="Order Date"/>
    <tableColumn id="2" xr3:uid="{EE94EEA9-6C6D-B849-A0EB-E5D51EA176D4}" name="Region"/>
    <tableColumn id="3" xr3:uid="{3635B401-1953-4043-9F68-E679039188DC}" name="Category"/>
    <tableColumn id="4" xr3:uid="{A2CF81BE-50C0-B449-ADD5-712FEC0141CF}" name="Sub-Category"/>
    <tableColumn id="5" xr3:uid="{D8B02E6C-E022-2B41-9CD3-086EAFB62E2C}" name="Sales" dataCellStyle="Currency"/>
    <tableColumn id="6" xr3:uid="{C482EBE0-591F-F744-9E64-927A4E0FED08}" name="Quantity"/>
    <tableColumn id="7" xr3:uid="{7BE7E1B3-925C-D04E-832F-52A5FEDCD8E4}" name="Discount" dataCellStyle="Percent"/>
    <tableColumn id="8" xr3:uid="{9678F66C-4EC6-D14A-80C7-5F583866A571}" name="Profit" dataDxfId="20" dataCellStyle="Currenc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15BA38-E06A-1C4C-BD03-E935781A323D}" name="Table2" displayName="Table2" ref="A8:B11" totalsRowShown="0" headerRowDxfId="14" headerRowBorderDxfId="18" tableBorderDxfId="19" totalsRowBorderDxfId="17">
  <autoFilter ref="A8:B11" xr:uid="{7A15BA38-E06A-1C4C-BD03-E935781A323D}"/>
  <tableColumns count="2">
    <tableColumn id="1" xr3:uid="{AD88C7F0-8479-894E-BCE4-1E607CD7F6B2}" name="Category" dataDxfId="16"/>
    <tableColumn id="2" xr3:uid="{86F61100-3BF8-454D-ACE4-A9BFE502BD25}" name="Profit Margin" dataDxfId="15" dataCellStyle="Percen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2B79CD-62B5-E148-A833-D08154CC3DE5}" name="Table3" displayName="Table3" ref="A14:B17" totalsRowShown="0">
  <autoFilter ref="A14:B17" xr:uid="{DE2B79CD-62B5-E148-A833-D08154CC3DE5}"/>
  <tableColumns count="2">
    <tableColumn id="1" xr3:uid="{B01FFA23-33B6-9D49-ADAA-0422DF04D9AF}" name="Category" dataDxfId="7"/>
    <tableColumn id="2" xr3:uid="{228CE8AF-DABD-C54F-9465-A2A40FA8463D}" name="Average of Discount" dataDxfId="6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"/>
  <sheetViews>
    <sheetView tabSelected="1" workbookViewId="0">
      <selection activeCell="J14" sqref="J14"/>
    </sheetView>
  </sheetViews>
  <sheetFormatPr baseColWidth="10" defaultColWidth="8.83203125" defaultRowHeight="15" x14ac:dyDescent="0.2"/>
  <cols>
    <col min="1" max="1" width="12" customWidth="1"/>
    <col min="2" max="2" width="8.83203125" customWidth="1"/>
    <col min="3" max="3" width="12.83203125" bestFit="1" customWidth="1"/>
    <col min="4" max="4" width="13.6640625" customWidth="1"/>
    <col min="5" max="5" width="11.1640625" style="1" bestFit="1" customWidth="1"/>
    <col min="6" max="7" width="10.33203125" customWidth="1"/>
    <col min="8" max="8" width="1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</v>
      </c>
      <c r="B2" t="s">
        <v>231</v>
      </c>
      <c r="C2" t="s">
        <v>235</v>
      </c>
      <c r="D2" t="s">
        <v>238</v>
      </c>
      <c r="E2" s="1">
        <v>126.3</v>
      </c>
      <c r="F2">
        <v>3</v>
      </c>
      <c r="G2" s="3">
        <v>0</v>
      </c>
      <c r="H2" s="2">
        <v>40.415999999999997</v>
      </c>
    </row>
    <row r="3" spans="1:8" x14ac:dyDescent="0.2">
      <c r="A3" t="s">
        <v>12</v>
      </c>
      <c r="B3" t="s">
        <v>233</v>
      </c>
      <c r="C3" t="s">
        <v>235</v>
      </c>
      <c r="D3" t="s">
        <v>241</v>
      </c>
      <c r="E3" s="1">
        <v>173.94</v>
      </c>
      <c r="F3">
        <v>3</v>
      </c>
      <c r="G3" s="3">
        <v>0</v>
      </c>
      <c r="H3" s="2">
        <v>38.266800000000003</v>
      </c>
    </row>
    <row r="4" spans="1:8" x14ac:dyDescent="0.2">
      <c r="A4" t="s">
        <v>23</v>
      </c>
      <c r="B4" t="s">
        <v>230</v>
      </c>
      <c r="C4" t="s">
        <v>236</v>
      </c>
      <c r="D4" t="s">
        <v>245</v>
      </c>
      <c r="E4" s="1">
        <v>95.84</v>
      </c>
      <c r="F4">
        <v>4</v>
      </c>
      <c r="G4" s="3">
        <v>0.2</v>
      </c>
      <c r="H4" s="2">
        <v>34.741999999999997</v>
      </c>
    </row>
    <row r="5" spans="1:8" x14ac:dyDescent="0.2">
      <c r="A5" t="s">
        <v>13</v>
      </c>
      <c r="B5" t="s">
        <v>230</v>
      </c>
      <c r="C5" t="s">
        <v>235</v>
      </c>
      <c r="D5" t="s">
        <v>241</v>
      </c>
      <c r="E5" s="1">
        <v>305.97449999999998</v>
      </c>
      <c r="F5">
        <v>3</v>
      </c>
      <c r="G5" s="3">
        <v>0.15</v>
      </c>
      <c r="H5" s="2">
        <v>25.197900000000001</v>
      </c>
    </row>
    <row r="6" spans="1:8" x14ac:dyDescent="0.2">
      <c r="A6" t="s">
        <v>19</v>
      </c>
      <c r="B6" t="s">
        <v>233</v>
      </c>
      <c r="C6" t="s">
        <v>234</v>
      </c>
      <c r="D6" t="s">
        <v>240</v>
      </c>
      <c r="E6" s="1">
        <v>45.527999999999999</v>
      </c>
      <c r="F6">
        <v>3</v>
      </c>
      <c r="G6" s="3">
        <v>0.2</v>
      </c>
      <c r="H6" s="2">
        <v>15.934799999999999</v>
      </c>
    </row>
    <row r="7" spans="1:8" x14ac:dyDescent="0.2">
      <c r="A7" t="s">
        <v>24</v>
      </c>
      <c r="B7" t="s">
        <v>232</v>
      </c>
      <c r="C7" t="s">
        <v>236</v>
      </c>
      <c r="D7" t="s">
        <v>246</v>
      </c>
      <c r="E7" s="1">
        <v>41.423999999999999</v>
      </c>
      <c r="F7">
        <v>2</v>
      </c>
      <c r="G7" s="3">
        <v>0.2</v>
      </c>
      <c r="H7" s="2">
        <v>8.2848000000000006</v>
      </c>
    </row>
    <row r="8" spans="1:8" x14ac:dyDescent="0.2">
      <c r="A8" t="s">
        <v>8</v>
      </c>
      <c r="B8" t="s">
        <v>230</v>
      </c>
      <c r="C8" t="s">
        <v>234</v>
      </c>
      <c r="D8" t="s">
        <v>237</v>
      </c>
      <c r="E8" s="1">
        <v>18.16</v>
      </c>
      <c r="F8">
        <v>5</v>
      </c>
      <c r="G8" s="3">
        <v>0.2</v>
      </c>
      <c r="H8" s="2">
        <v>6.5830000000000002</v>
      </c>
    </row>
    <row r="9" spans="1:8" x14ac:dyDescent="0.2">
      <c r="A9" t="s">
        <v>20</v>
      </c>
      <c r="B9" t="s">
        <v>231</v>
      </c>
      <c r="C9" t="s">
        <v>234</v>
      </c>
      <c r="D9" t="s">
        <v>240</v>
      </c>
      <c r="E9" s="1">
        <v>16.896000000000001</v>
      </c>
      <c r="F9">
        <v>4</v>
      </c>
      <c r="G9" s="3">
        <v>0.2</v>
      </c>
      <c r="H9" s="2">
        <v>5.28</v>
      </c>
    </row>
    <row r="10" spans="1:8" x14ac:dyDescent="0.2">
      <c r="A10" t="s">
        <v>17</v>
      </c>
      <c r="B10" t="s">
        <v>232</v>
      </c>
      <c r="C10" t="s">
        <v>234</v>
      </c>
      <c r="D10" t="s">
        <v>237</v>
      </c>
      <c r="E10" s="1">
        <v>9.64</v>
      </c>
      <c r="F10">
        <v>2</v>
      </c>
      <c r="G10" s="3">
        <v>0</v>
      </c>
      <c r="H10" s="2">
        <v>4.7236000000000002</v>
      </c>
    </row>
    <row r="11" spans="1:8" x14ac:dyDescent="0.2">
      <c r="A11" t="s">
        <v>16</v>
      </c>
      <c r="B11" t="s">
        <v>231</v>
      </c>
      <c r="C11" t="s">
        <v>234</v>
      </c>
      <c r="D11" t="s">
        <v>243</v>
      </c>
      <c r="E11" s="1">
        <v>17.856000000000002</v>
      </c>
      <c r="F11">
        <v>4</v>
      </c>
      <c r="G11" s="3">
        <v>0.2</v>
      </c>
      <c r="H11" s="2">
        <v>4.2408000000000001</v>
      </c>
    </row>
    <row r="12" spans="1:8" x14ac:dyDescent="0.2">
      <c r="A12" t="s">
        <v>15</v>
      </c>
      <c r="B12" t="s">
        <v>231</v>
      </c>
      <c r="C12" t="s">
        <v>234</v>
      </c>
      <c r="D12" t="s">
        <v>242</v>
      </c>
      <c r="E12" s="1">
        <v>35.951999999999998</v>
      </c>
      <c r="F12">
        <v>3</v>
      </c>
      <c r="G12" s="3">
        <v>0.2</v>
      </c>
      <c r="H12" s="2">
        <v>3.5952000000000002</v>
      </c>
    </row>
    <row r="13" spans="1:8" x14ac:dyDescent="0.2">
      <c r="A13" t="s">
        <v>18</v>
      </c>
      <c r="B13" t="s">
        <v>230</v>
      </c>
      <c r="C13" t="s">
        <v>235</v>
      </c>
      <c r="D13" t="s">
        <v>238</v>
      </c>
      <c r="E13" s="1">
        <v>41.96</v>
      </c>
      <c r="F13">
        <v>2</v>
      </c>
      <c r="G13" s="3">
        <v>0</v>
      </c>
      <c r="H13" s="2">
        <v>2.9371999999999998</v>
      </c>
    </row>
    <row r="14" spans="1:8" x14ac:dyDescent="0.2">
      <c r="A14" t="s">
        <v>22</v>
      </c>
      <c r="B14" t="s">
        <v>230</v>
      </c>
      <c r="C14" t="s">
        <v>235</v>
      </c>
      <c r="D14" t="s">
        <v>244</v>
      </c>
      <c r="E14" s="1">
        <v>210.00800000000001</v>
      </c>
      <c r="F14">
        <v>1</v>
      </c>
      <c r="G14" s="3">
        <v>0.2</v>
      </c>
      <c r="H14" s="2">
        <v>2.6251000000000002</v>
      </c>
    </row>
    <row r="15" spans="1:8" x14ac:dyDescent="0.2">
      <c r="A15" t="s">
        <v>11</v>
      </c>
      <c r="B15" t="s">
        <v>232</v>
      </c>
      <c r="C15" t="s">
        <v>234</v>
      </c>
      <c r="D15" t="s">
        <v>240</v>
      </c>
      <c r="E15" s="1">
        <v>5.08</v>
      </c>
      <c r="F15">
        <v>1</v>
      </c>
      <c r="G15" s="3">
        <v>0.2</v>
      </c>
      <c r="H15" s="2">
        <v>1.651</v>
      </c>
    </row>
    <row r="16" spans="1:8" x14ac:dyDescent="0.2">
      <c r="A16" t="s">
        <v>10</v>
      </c>
      <c r="B16" t="s">
        <v>232</v>
      </c>
      <c r="C16" t="s">
        <v>235</v>
      </c>
      <c r="D16" t="s">
        <v>239</v>
      </c>
      <c r="E16" s="1">
        <v>363.92</v>
      </c>
      <c r="F16">
        <v>5</v>
      </c>
      <c r="G16" s="3">
        <v>0.2</v>
      </c>
      <c r="H16" s="2">
        <v>0</v>
      </c>
    </row>
    <row r="17" spans="1:8" x14ac:dyDescent="0.2">
      <c r="A17" t="s">
        <v>21</v>
      </c>
      <c r="B17" t="s">
        <v>231</v>
      </c>
      <c r="C17" t="s">
        <v>234</v>
      </c>
      <c r="D17" t="s">
        <v>237</v>
      </c>
      <c r="E17" s="1">
        <v>2.0720000000000001</v>
      </c>
      <c r="F17">
        <v>2</v>
      </c>
      <c r="G17" s="3">
        <v>0.8</v>
      </c>
      <c r="H17" s="2">
        <v>-3.5224000000000002</v>
      </c>
    </row>
    <row r="18" spans="1:8" x14ac:dyDescent="0.2">
      <c r="A18" t="s">
        <v>14</v>
      </c>
      <c r="B18" t="s">
        <v>230</v>
      </c>
      <c r="C18" t="s">
        <v>234</v>
      </c>
      <c r="D18" t="s">
        <v>237</v>
      </c>
      <c r="E18" s="1">
        <v>5.6820000000000004</v>
      </c>
      <c r="F18">
        <v>1</v>
      </c>
      <c r="G18" s="3">
        <v>0.7</v>
      </c>
      <c r="H18" s="2">
        <v>-3.7879999999999998</v>
      </c>
    </row>
    <row r="19" spans="1:8" x14ac:dyDescent="0.2">
      <c r="A19" t="s">
        <v>20</v>
      </c>
      <c r="B19" t="s">
        <v>231</v>
      </c>
      <c r="C19" t="s">
        <v>235</v>
      </c>
      <c r="D19" t="s">
        <v>244</v>
      </c>
      <c r="E19" s="1">
        <v>219.07499999999999</v>
      </c>
      <c r="F19">
        <v>3</v>
      </c>
      <c r="G19" s="3">
        <v>0.5</v>
      </c>
      <c r="H19" s="2">
        <v>-131.44499999999999</v>
      </c>
    </row>
    <row r="20" spans="1:8" x14ac:dyDescent="0.2">
      <c r="A20" t="s">
        <v>25</v>
      </c>
      <c r="B20" t="s">
        <v>232</v>
      </c>
      <c r="C20" t="s">
        <v>234</v>
      </c>
      <c r="D20" t="s">
        <v>247</v>
      </c>
      <c r="E20" s="1">
        <v>81.567999999999998</v>
      </c>
      <c r="F20">
        <v>2</v>
      </c>
      <c r="G20" s="3">
        <v>0.2</v>
      </c>
      <c r="H20" s="2">
        <v>7.1372</v>
      </c>
    </row>
    <row r="21" spans="1:8" x14ac:dyDescent="0.2">
      <c r="A21" t="s">
        <v>26</v>
      </c>
      <c r="B21" t="s">
        <v>231</v>
      </c>
      <c r="C21" t="s">
        <v>234</v>
      </c>
      <c r="D21" t="s">
        <v>240</v>
      </c>
      <c r="E21" s="1">
        <v>75.88</v>
      </c>
      <c r="F21">
        <v>5</v>
      </c>
      <c r="G21" s="3">
        <v>0.2</v>
      </c>
      <c r="H21" s="2">
        <v>26.558</v>
      </c>
    </row>
    <row r="22" spans="1:8" x14ac:dyDescent="0.2">
      <c r="A22" t="s">
        <v>27</v>
      </c>
      <c r="B22" t="s">
        <v>231</v>
      </c>
      <c r="C22" t="s">
        <v>234</v>
      </c>
      <c r="D22" t="s">
        <v>237</v>
      </c>
      <c r="E22" s="1">
        <v>1889.99</v>
      </c>
      <c r="F22">
        <v>5</v>
      </c>
      <c r="G22" s="3">
        <v>0.8</v>
      </c>
      <c r="H22" s="2">
        <v>-2929.4845</v>
      </c>
    </row>
    <row r="23" spans="1:8" x14ac:dyDescent="0.2">
      <c r="A23" t="s">
        <v>28</v>
      </c>
      <c r="B23" t="s">
        <v>233</v>
      </c>
      <c r="C23" t="s">
        <v>235</v>
      </c>
      <c r="D23" t="s">
        <v>241</v>
      </c>
      <c r="E23" s="1">
        <v>242.352</v>
      </c>
      <c r="F23">
        <v>3</v>
      </c>
      <c r="G23" s="3">
        <v>0.2</v>
      </c>
      <c r="H23" s="2">
        <v>9.0882000000000005</v>
      </c>
    </row>
    <row r="24" spans="1:8" x14ac:dyDescent="0.2">
      <c r="A24" t="s">
        <v>29</v>
      </c>
      <c r="B24" t="s">
        <v>230</v>
      </c>
      <c r="C24" t="s">
        <v>234</v>
      </c>
      <c r="D24" t="s">
        <v>237</v>
      </c>
      <c r="E24" s="1">
        <v>9.2959999999999994</v>
      </c>
      <c r="F24">
        <v>2</v>
      </c>
      <c r="G24" s="3">
        <v>0.2</v>
      </c>
      <c r="H24" s="2">
        <v>3.0211999999999999</v>
      </c>
    </row>
    <row r="25" spans="1:8" x14ac:dyDescent="0.2">
      <c r="A25" t="s">
        <v>30</v>
      </c>
      <c r="B25" t="s">
        <v>230</v>
      </c>
      <c r="C25" t="s">
        <v>235</v>
      </c>
      <c r="D25" t="s">
        <v>238</v>
      </c>
      <c r="E25" s="1">
        <v>139.58000000000001</v>
      </c>
      <c r="F25">
        <v>7</v>
      </c>
      <c r="G25" s="3">
        <v>0</v>
      </c>
      <c r="H25" s="2">
        <v>39.0824</v>
      </c>
    </row>
    <row r="26" spans="1:8" x14ac:dyDescent="0.2">
      <c r="A26" t="s">
        <v>31</v>
      </c>
      <c r="B26" t="s">
        <v>232</v>
      </c>
      <c r="C26" t="s">
        <v>234</v>
      </c>
      <c r="D26" t="s">
        <v>247</v>
      </c>
      <c r="E26" s="1">
        <v>28.08</v>
      </c>
      <c r="F26">
        <v>3</v>
      </c>
      <c r="G26" s="3">
        <v>0.2</v>
      </c>
      <c r="H26" s="2">
        <v>5.2649999999999997</v>
      </c>
    </row>
    <row r="27" spans="1:8" x14ac:dyDescent="0.2">
      <c r="A27" t="s">
        <v>32</v>
      </c>
      <c r="B27" t="s">
        <v>233</v>
      </c>
      <c r="C27" t="s">
        <v>234</v>
      </c>
      <c r="D27" t="s">
        <v>243</v>
      </c>
      <c r="E27" s="1">
        <v>9.4079999999999995</v>
      </c>
      <c r="F27">
        <v>7</v>
      </c>
      <c r="G27" s="3">
        <v>0.2</v>
      </c>
      <c r="H27" s="2">
        <v>0.7056</v>
      </c>
    </row>
    <row r="28" spans="1:8" x14ac:dyDescent="0.2">
      <c r="A28" t="s">
        <v>33</v>
      </c>
      <c r="B28" t="s">
        <v>233</v>
      </c>
      <c r="C28" t="s">
        <v>235</v>
      </c>
      <c r="D28" t="s">
        <v>244</v>
      </c>
      <c r="E28" s="1">
        <v>1044.6300000000001</v>
      </c>
      <c r="F28">
        <v>5</v>
      </c>
      <c r="G28" s="3">
        <v>0.4</v>
      </c>
      <c r="H28" s="2">
        <v>-295.9785</v>
      </c>
    </row>
    <row r="29" spans="1:8" x14ac:dyDescent="0.2">
      <c r="A29" t="s">
        <v>34</v>
      </c>
      <c r="B29" t="s">
        <v>232</v>
      </c>
      <c r="C29" t="s">
        <v>234</v>
      </c>
      <c r="D29" t="s">
        <v>240</v>
      </c>
      <c r="E29" s="1">
        <v>25.344000000000001</v>
      </c>
      <c r="F29">
        <v>4</v>
      </c>
      <c r="G29" s="3">
        <v>0.2</v>
      </c>
      <c r="H29" s="2">
        <v>9.1872000000000007</v>
      </c>
    </row>
    <row r="30" spans="1:8" x14ac:dyDescent="0.2">
      <c r="A30" t="s">
        <v>35</v>
      </c>
      <c r="B30" t="s">
        <v>230</v>
      </c>
      <c r="C30" t="s">
        <v>236</v>
      </c>
      <c r="D30" t="s">
        <v>245</v>
      </c>
      <c r="E30" s="1">
        <v>108.57599999999999</v>
      </c>
      <c r="F30">
        <v>3</v>
      </c>
      <c r="G30" s="3">
        <v>0.2</v>
      </c>
      <c r="H30" s="2">
        <v>8.1432000000000002</v>
      </c>
    </row>
    <row r="31" spans="1:8" x14ac:dyDescent="0.2">
      <c r="A31" t="s">
        <v>36</v>
      </c>
      <c r="B31" t="s">
        <v>232</v>
      </c>
      <c r="C31" t="s">
        <v>236</v>
      </c>
      <c r="D31" t="s">
        <v>246</v>
      </c>
      <c r="E31" s="1">
        <v>249.95</v>
      </c>
      <c r="F31">
        <v>5</v>
      </c>
      <c r="G31" s="3">
        <v>0</v>
      </c>
      <c r="H31" s="2">
        <v>19.995999999999999</v>
      </c>
    </row>
    <row r="32" spans="1:8" x14ac:dyDescent="0.2">
      <c r="A32" t="s">
        <v>37</v>
      </c>
      <c r="B32" t="s">
        <v>230</v>
      </c>
      <c r="C32" t="s">
        <v>234</v>
      </c>
      <c r="D32" t="s">
        <v>243</v>
      </c>
      <c r="E32" s="1">
        <v>99.3</v>
      </c>
      <c r="F32">
        <v>10</v>
      </c>
      <c r="G32" s="3">
        <v>0</v>
      </c>
      <c r="H32" s="2">
        <v>41.706000000000003</v>
      </c>
    </row>
    <row r="33" spans="1:8" x14ac:dyDescent="0.2">
      <c r="A33" t="s">
        <v>38</v>
      </c>
      <c r="B33" t="s">
        <v>230</v>
      </c>
      <c r="C33" t="s">
        <v>234</v>
      </c>
      <c r="D33" t="s">
        <v>237</v>
      </c>
      <c r="E33" s="1">
        <v>9.1440000000000001</v>
      </c>
      <c r="F33">
        <v>3</v>
      </c>
      <c r="G33" s="3">
        <v>0.2</v>
      </c>
      <c r="H33" s="2">
        <v>3.0861000000000001</v>
      </c>
    </row>
    <row r="34" spans="1:8" x14ac:dyDescent="0.2">
      <c r="A34" t="s">
        <v>39</v>
      </c>
      <c r="B34" t="s">
        <v>233</v>
      </c>
      <c r="C34" t="s">
        <v>234</v>
      </c>
      <c r="D34" t="s">
        <v>240</v>
      </c>
      <c r="E34" s="1">
        <v>12.96</v>
      </c>
      <c r="F34">
        <v>2</v>
      </c>
      <c r="G34" s="3">
        <v>0</v>
      </c>
      <c r="H34" s="2">
        <v>6.3503999999999996</v>
      </c>
    </row>
    <row r="35" spans="1:8" x14ac:dyDescent="0.2">
      <c r="A35" t="s">
        <v>40</v>
      </c>
      <c r="B35" t="s">
        <v>233</v>
      </c>
      <c r="C35" t="s">
        <v>235</v>
      </c>
      <c r="D35" t="s">
        <v>239</v>
      </c>
      <c r="E35" s="1">
        <v>2254.41</v>
      </c>
      <c r="F35">
        <v>5</v>
      </c>
      <c r="G35" s="3">
        <v>0.1</v>
      </c>
      <c r="H35" s="2">
        <v>375.73500000000001</v>
      </c>
    </row>
    <row r="36" spans="1:8" x14ac:dyDescent="0.2">
      <c r="A36" t="s">
        <v>41</v>
      </c>
      <c r="B36" t="s">
        <v>231</v>
      </c>
      <c r="C36" t="s">
        <v>234</v>
      </c>
      <c r="D36" t="s">
        <v>247</v>
      </c>
      <c r="E36" s="1">
        <v>53.088000000000001</v>
      </c>
      <c r="F36">
        <v>7</v>
      </c>
      <c r="G36" s="3">
        <v>0.8</v>
      </c>
      <c r="H36" s="2">
        <v>-108.8304</v>
      </c>
    </row>
    <row r="37" spans="1:8" x14ac:dyDescent="0.2">
      <c r="A37" t="s">
        <v>42</v>
      </c>
      <c r="B37" t="s">
        <v>231</v>
      </c>
      <c r="C37" t="s">
        <v>235</v>
      </c>
      <c r="D37" t="s">
        <v>238</v>
      </c>
      <c r="E37" s="1">
        <v>9.5519999999999996</v>
      </c>
      <c r="F37">
        <v>3</v>
      </c>
      <c r="G37" s="3">
        <v>0.6</v>
      </c>
      <c r="H37" s="2">
        <v>-3.8208000000000002</v>
      </c>
    </row>
    <row r="38" spans="1:8" x14ac:dyDescent="0.2">
      <c r="A38" t="s">
        <v>43</v>
      </c>
      <c r="B38" t="s">
        <v>233</v>
      </c>
      <c r="C38" t="s">
        <v>235</v>
      </c>
      <c r="D38" t="s">
        <v>238</v>
      </c>
      <c r="E38" s="1">
        <v>14.82</v>
      </c>
      <c r="F38">
        <v>3</v>
      </c>
      <c r="G38" s="3">
        <v>0</v>
      </c>
      <c r="H38" s="2">
        <v>6.2244000000000002</v>
      </c>
    </row>
    <row r="39" spans="1:8" x14ac:dyDescent="0.2">
      <c r="A39" t="s">
        <v>44</v>
      </c>
      <c r="B39" t="s">
        <v>233</v>
      </c>
      <c r="C39" t="s">
        <v>234</v>
      </c>
      <c r="D39" t="s">
        <v>242</v>
      </c>
      <c r="E39" s="1">
        <v>1606.23</v>
      </c>
      <c r="F39">
        <v>9</v>
      </c>
      <c r="G39" s="3">
        <v>0</v>
      </c>
      <c r="H39" s="2">
        <v>481.86900000000003</v>
      </c>
    </row>
    <row r="40" spans="1:8" x14ac:dyDescent="0.2">
      <c r="A40" t="s">
        <v>45</v>
      </c>
      <c r="B40" t="s">
        <v>231</v>
      </c>
      <c r="C40" t="s">
        <v>234</v>
      </c>
      <c r="D40" t="s">
        <v>248</v>
      </c>
      <c r="E40" s="1">
        <v>81.540000000000006</v>
      </c>
      <c r="F40">
        <v>3</v>
      </c>
      <c r="G40" s="3">
        <v>0</v>
      </c>
      <c r="H40" s="2">
        <v>38.323799999999999</v>
      </c>
    </row>
    <row r="41" spans="1:8" x14ac:dyDescent="0.2">
      <c r="A41" t="s">
        <v>46</v>
      </c>
      <c r="B41" t="s">
        <v>230</v>
      </c>
      <c r="C41" t="s">
        <v>234</v>
      </c>
      <c r="D41" t="s">
        <v>249</v>
      </c>
      <c r="E41" s="1">
        <v>18.75</v>
      </c>
      <c r="F41">
        <v>5</v>
      </c>
      <c r="G41" s="3">
        <v>0</v>
      </c>
      <c r="H41" s="2">
        <v>9</v>
      </c>
    </row>
    <row r="42" spans="1:8" x14ac:dyDescent="0.2">
      <c r="A42" t="s">
        <v>47</v>
      </c>
      <c r="B42" t="s">
        <v>230</v>
      </c>
      <c r="C42" t="s">
        <v>236</v>
      </c>
      <c r="D42" t="s">
        <v>250</v>
      </c>
      <c r="E42" s="1">
        <v>343.2</v>
      </c>
      <c r="F42">
        <v>1</v>
      </c>
      <c r="G42" s="3">
        <v>0.2</v>
      </c>
      <c r="H42" s="2">
        <v>38.61</v>
      </c>
    </row>
    <row r="43" spans="1:8" x14ac:dyDescent="0.2">
      <c r="A43" t="s">
        <v>48</v>
      </c>
      <c r="B43" t="s">
        <v>232</v>
      </c>
      <c r="C43" t="s">
        <v>234</v>
      </c>
      <c r="D43" t="s">
        <v>237</v>
      </c>
      <c r="E43" s="1">
        <v>40.409999999999997</v>
      </c>
      <c r="F43">
        <v>9</v>
      </c>
      <c r="G43" s="3">
        <v>0</v>
      </c>
      <c r="H43" s="2">
        <v>18.5886</v>
      </c>
    </row>
    <row r="44" spans="1:8" x14ac:dyDescent="0.2">
      <c r="A44" t="s">
        <v>49</v>
      </c>
      <c r="B44" t="s">
        <v>230</v>
      </c>
      <c r="C44" t="s">
        <v>235</v>
      </c>
      <c r="D44" t="s">
        <v>244</v>
      </c>
      <c r="E44" s="1">
        <v>710.83199999999999</v>
      </c>
      <c r="F44">
        <v>3</v>
      </c>
      <c r="G44" s="3">
        <v>0.2</v>
      </c>
      <c r="H44" s="2">
        <v>-97.739400000000003</v>
      </c>
    </row>
    <row r="45" spans="1:8" x14ac:dyDescent="0.2">
      <c r="A45" t="s">
        <v>50</v>
      </c>
      <c r="B45" t="s">
        <v>233</v>
      </c>
      <c r="C45" t="s">
        <v>236</v>
      </c>
      <c r="D45" t="s">
        <v>245</v>
      </c>
      <c r="E45" s="1">
        <v>35.909999999999997</v>
      </c>
      <c r="F45">
        <v>3</v>
      </c>
      <c r="G45" s="3">
        <v>0.4</v>
      </c>
      <c r="H45" s="2">
        <v>-8.3789999999999996</v>
      </c>
    </row>
    <row r="46" spans="1:8" x14ac:dyDescent="0.2">
      <c r="A46" t="s">
        <v>51</v>
      </c>
      <c r="B46" t="s">
        <v>233</v>
      </c>
      <c r="C46" t="s">
        <v>236</v>
      </c>
      <c r="D46" t="s">
        <v>246</v>
      </c>
      <c r="E46" s="1">
        <v>199.95</v>
      </c>
      <c r="F46">
        <v>5</v>
      </c>
      <c r="G46" s="3">
        <v>0</v>
      </c>
      <c r="H46" s="2">
        <v>21.994499999999999</v>
      </c>
    </row>
    <row r="47" spans="1:8" x14ac:dyDescent="0.2">
      <c r="A47" t="s">
        <v>52</v>
      </c>
      <c r="B47" t="s">
        <v>233</v>
      </c>
      <c r="C47" t="s">
        <v>234</v>
      </c>
      <c r="D47" t="s">
        <v>243</v>
      </c>
      <c r="E47" s="1">
        <v>86.352000000000004</v>
      </c>
      <c r="F47">
        <v>3</v>
      </c>
      <c r="G47" s="3">
        <v>0.2</v>
      </c>
      <c r="H47" s="2">
        <v>5.3970000000000002</v>
      </c>
    </row>
    <row r="48" spans="1:8" x14ac:dyDescent="0.2">
      <c r="A48" t="s">
        <v>53</v>
      </c>
      <c r="B48" t="s">
        <v>231</v>
      </c>
      <c r="C48" t="s">
        <v>234</v>
      </c>
      <c r="D48" t="s">
        <v>237</v>
      </c>
      <c r="E48" s="1">
        <v>11.394</v>
      </c>
      <c r="F48">
        <v>9</v>
      </c>
      <c r="G48" s="3">
        <v>0.8</v>
      </c>
      <c r="H48" s="2">
        <v>-17.660699999999999</v>
      </c>
    </row>
    <row r="49" spans="1:8" x14ac:dyDescent="0.2">
      <c r="A49" t="s">
        <v>54</v>
      </c>
      <c r="B49" t="s">
        <v>231</v>
      </c>
      <c r="C49" t="s">
        <v>234</v>
      </c>
      <c r="D49" t="s">
        <v>240</v>
      </c>
      <c r="E49" s="1">
        <v>10.272</v>
      </c>
      <c r="F49">
        <v>3</v>
      </c>
      <c r="G49" s="3">
        <v>0.2</v>
      </c>
      <c r="H49" s="2">
        <v>3.21</v>
      </c>
    </row>
    <row r="50" spans="1:8" x14ac:dyDescent="0.2">
      <c r="A50" t="s">
        <v>55</v>
      </c>
      <c r="B50" t="s">
        <v>231</v>
      </c>
      <c r="C50" t="s">
        <v>235</v>
      </c>
      <c r="D50" t="s">
        <v>239</v>
      </c>
      <c r="E50" s="1">
        <v>248.43</v>
      </c>
      <c r="F50">
        <v>5</v>
      </c>
      <c r="G50" s="3">
        <v>0.3</v>
      </c>
      <c r="H50" s="2">
        <v>-17.745000000000001</v>
      </c>
    </row>
    <row r="51" spans="1:8" x14ac:dyDescent="0.2">
      <c r="A51" t="s">
        <v>56</v>
      </c>
      <c r="B51" t="s">
        <v>233</v>
      </c>
      <c r="C51" t="s">
        <v>234</v>
      </c>
      <c r="D51" t="s">
        <v>247</v>
      </c>
      <c r="E51" s="1">
        <v>23.696000000000002</v>
      </c>
      <c r="F51">
        <v>2</v>
      </c>
      <c r="G51" s="3">
        <v>0.2</v>
      </c>
      <c r="H51" s="2">
        <v>6.5164</v>
      </c>
    </row>
    <row r="52" spans="1:8" x14ac:dyDescent="0.2">
      <c r="A52" t="s">
        <v>57</v>
      </c>
      <c r="B52" t="s">
        <v>230</v>
      </c>
      <c r="C52" t="s">
        <v>234</v>
      </c>
      <c r="D52" t="s">
        <v>240</v>
      </c>
      <c r="E52" s="1">
        <v>164.88</v>
      </c>
      <c r="F52">
        <v>3</v>
      </c>
      <c r="G52" s="3">
        <v>0</v>
      </c>
      <c r="H52" s="2">
        <v>80.791200000000003</v>
      </c>
    </row>
    <row r="53" spans="1:8" x14ac:dyDescent="0.2">
      <c r="A53" t="s">
        <v>58</v>
      </c>
      <c r="B53" t="s">
        <v>233</v>
      </c>
      <c r="C53" t="s">
        <v>234</v>
      </c>
      <c r="D53" t="s">
        <v>237</v>
      </c>
      <c r="E53" s="1">
        <v>43.8</v>
      </c>
      <c r="F53">
        <v>6</v>
      </c>
      <c r="G53" s="3">
        <v>0</v>
      </c>
      <c r="H53" s="2">
        <v>20.585999999999999</v>
      </c>
    </row>
    <row r="54" spans="1:8" x14ac:dyDescent="0.2">
      <c r="A54" t="s">
        <v>59</v>
      </c>
      <c r="B54" t="s">
        <v>233</v>
      </c>
      <c r="C54" t="s">
        <v>234</v>
      </c>
      <c r="D54" t="s">
        <v>240</v>
      </c>
      <c r="E54" s="1">
        <v>379.4</v>
      </c>
      <c r="F54">
        <v>10</v>
      </c>
      <c r="G54" s="3">
        <v>0</v>
      </c>
      <c r="H54" s="2">
        <v>178.31800000000001</v>
      </c>
    </row>
    <row r="55" spans="1:8" x14ac:dyDescent="0.2">
      <c r="A55" t="s">
        <v>60</v>
      </c>
      <c r="B55" t="s">
        <v>231</v>
      </c>
      <c r="C55" t="s">
        <v>234</v>
      </c>
      <c r="D55" t="s">
        <v>237</v>
      </c>
      <c r="E55" s="1">
        <v>1.788</v>
      </c>
      <c r="F55">
        <v>3</v>
      </c>
      <c r="G55" s="3">
        <v>0.8</v>
      </c>
      <c r="H55" s="2">
        <v>-3.0396000000000001</v>
      </c>
    </row>
    <row r="56" spans="1:8" x14ac:dyDescent="0.2">
      <c r="A56" t="s">
        <v>61</v>
      </c>
      <c r="B56" t="s">
        <v>230</v>
      </c>
      <c r="C56" t="s">
        <v>234</v>
      </c>
      <c r="D56" t="s">
        <v>251</v>
      </c>
      <c r="E56" s="1">
        <v>86.2</v>
      </c>
      <c r="F56">
        <v>5</v>
      </c>
      <c r="G56" s="3">
        <v>0</v>
      </c>
      <c r="H56" s="2">
        <v>24.998000000000001</v>
      </c>
    </row>
    <row r="57" spans="1:8" x14ac:dyDescent="0.2">
      <c r="A57" t="s">
        <v>62</v>
      </c>
      <c r="B57" t="s">
        <v>230</v>
      </c>
      <c r="C57" t="s">
        <v>235</v>
      </c>
      <c r="D57" t="s">
        <v>239</v>
      </c>
      <c r="E57" s="1">
        <v>243.92</v>
      </c>
      <c r="F57">
        <v>5</v>
      </c>
      <c r="G57" s="3">
        <v>0.2</v>
      </c>
      <c r="H57" s="2">
        <v>-15.244999999999999</v>
      </c>
    </row>
    <row r="58" spans="1:8" x14ac:dyDescent="0.2">
      <c r="A58" t="s">
        <v>63</v>
      </c>
      <c r="B58" t="s">
        <v>233</v>
      </c>
      <c r="C58" t="s">
        <v>234</v>
      </c>
      <c r="D58" t="s">
        <v>249</v>
      </c>
      <c r="E58" s="1">
        <v>20.7</v>
      </c>
      <c r="F58">
        <v>2</v>
      </c>
      <c r="G58" s="3">
        <v>0</v>
      </c>
      <c r="H58" s="2">
        <v>9.9359999999999999</v>
      </c>
    </row>
    <row r="59" spans="1:8" x14ac:dyDescent="0.2">
      <c r="A59" t="s">
        <v>64</v>
      </c>
      <c r="B59" t="s">
        <v>230</v>
      </c>
      <c r="C59" t="s">
        <v>235</v>
      </c>
      <c r="D59" t="s">
        <v>239</v>
      </c>
      <c r="E59" s="1">
        <v>230.28</v>
      </c>
      <c r="F59">
        <v>3</v>
      </c>
      <c r="G59" s="3">
        <v>0.2</v>
      </c>
      <c r="H59" s="2">
        <v>23.027999999999999</v>
      </c>
    </row>
    <row r="60" spans="1:8" x14ac:dyDescent="0.2">
      <c r="A60" t="s">
        <v>65</v>
      </c>
      <c r="B60" t="s">
        <v>230</v>
      </c>
      <c r="C60" t="s">
        <v>236</v>
      </c>
      <c r="D60" t="s">
        <v>245</v>
      </c>
      <c r="E60" s="1">
        <v>1679.96</v>
      </c>
      <c r="F60">
        <v>5</v>
      </c>
      <c r="G60" s="3">
        <v>0.2</v>
      </c>
      <c r="H60" s="2">
        <v>125.997</v>
      </c>
    </row>
    <row r="61" spans="1:8" x14ac:dyDescent="0.2">
      <c r="A61" t="s">
        <v>66</v>
      </c>
      <c r="B61" t="s">
        <v>231</v>
      </c>
      <c r="C61" t="s">
        <v>235</v>
      </c>
      <c r="D61" t="s">
        <v>244</v>
      </c>
      <c r="E61" s="1">
        <v>244.006</v>
      </c>
      <c r="F61">
        <v>2</v>
      </c>
      <c r="G61" s="3">
        <v>0.3</v>
      </c>
      <c r="H61" s="2">
        <v>-31.372199999999999</v>
      </c>
    </row>
    <row r="62" spans="1:8" x14ac:dyDescent="0.2">
      <c r="A62" t="s">
        <v>67</v>
      </c>
      <c r="B62" t="s">
        <v>231</v>
      </c>
      <c r="C62" t="s">
        <v>235</v>
      </c>
      <c r="D62" t="s">
        <v>239</v>
      </c>
      <c r="E62" s="1">
        <v>212.05799999999999</v>
      </c>
      <c r="F62">
        <v>3</v>
      </c>
      <c r="G62" s="3">
        <v>0.3</v>
      </c>
      <c r="H62" s="2">
        <v>-15.147</v>
      </c>
    </row>
    <row r="63" spans="1:8" x14ac:dyDescent="0.2">
      <c r="A63" t="s">
        <v>68</v>
      </c>
      <c r="B63" t="s">
        <v>233</v>
      </c>
      <c r="C63" t="s">
        <v>234</v>
      </c>
      <c r="D63" t="s">
        <v>240</v>
      </c>
      <c r="E63" s="1">
        <v>21.696000000000002</v>
      </c>
      <c r="F63">
        <v>4</v>
      </c>
      <c r="G63" s="3">
        <v>0.2</v>
      </c>
      <c r="H63" s="2">
        <v>7.0511999999999997</v>
      </c>
    </row>
    <row r="64" spans="1:8" x14ac:dyDescent="0.2">
      <c r="A64" t="s">
        <v>69</v>
      </c>
      <c r="B64" t="s">
        <v>231</v>
      </c>
      <c r="C64" t="s">
        <v>235</v>
      </c>
      <c r="D64" t="s">
        <v>241</v>
      </c>
      <c r="E64" s="1">
        <v>67.993200000000002</v>
      </c>
      <c r="F64">
        <v>1</v>
      </c>
      <c r="G64" s="3">
        <v>0.32</v>
      </c>
      <c r="H64" s="2">
        <v>-12.998699999999999</v>
      </c>
    </row>
    <row r="65" spans="1:8" x14ac:dyDescent="0.2">
      <c r="A65" t="s">
        <v>70</v>
      </c>
      <c r="B65" t="s">
        <v>231</v>
      </c>
      <c r="C65" t="s">
        <v>236</v>
      </c>
      <c r="D65" t="s">
        <v>245</v>
      </c>
      <c r="E65" s="1">
        <v>517.9</v>
      </c>
      <c r="F65">
        <v>2</v>
      </c>
      <c r="G65" s="3">
        <v>0</v>
      </c>
      <c r="H65" s="2">
        <v>134.654</v>
      </c>
    </row>
    <row r="66" spans="1:8" x14ac:dyDescent="0.2">
      <c r="A66" t="s">
        <v>71</v>
      </c>
      <c r="B66" t="s">
        <v>230</v>
      </c>
      <c r="C66" t="s">
        <v>236</v>
      </c>
      <c r="D66" t="s">
        <v>245</v>
      </c>
      <c r="E66" s="1">
        <v>15.984</v>
      </c>
      <c r="F66">
        <v>2</v>
      </c>
      <c r="G66" s="3">
        <v>0.2</v>
      </c>
      <c r="H66" s="2">
        <v>1.1988000000000001</v>
      </c>
    </row>
    <row r="67" spans="1:8" x14ac:dyDescent="0.2">
      <c r="A67" t="s">
        <v>72</v>
      </c>
      <c r="B67" t="s">
        <v>230</v>
      </c>
      <c r="C67" t="s">
        <v>234</v>
      </c>
      <c r="D67" t="s">
        <v>237</v>
      </c>
      <c r="E67" s="1">
        <v>13.904</v>
      </c>
      <c r="F67">
        <v>2</v>
      </c>
      <c r="G67" s="3">
        <v>0.2</v>
      </c>
      <c r="H67" s="2">
        <v>5.2140000000000004</v>
      </c>
    </row>
    <row r="68" spans="1:8" x14ac:dyDescent="0.2">
      <c r="A68" t="s">
        <v>73</v>
      </c>
      <c r="B68" t="s">
        <v>230</v>
      </c>
      <c r="C68" t="s">
        <v>234</v>
      </c>
      <c r="D68" t="s">
        <v>247</v>
      </c>
      <c r="E68" s="1">
        <v>241.96</v>
      </c>
      <c r="F68">
        <v>2</v>
      </c>
      <c r="G68" s="3">
        <v>0</v>
      </c>
      <c r="H68" s="2">
        <v>60.49</v>
      </c>
    </row>
    <row r="69" spans="1:8" x14ac:dyDescent="0.2">
      <c r="A69" t="s">
        <v>74</v>
      </c>
      <c r="B69" t="s">
        <v>233</v>
      </c>
      <c r="C69" t="s">
        <v>234</v>
      </c>
      <c r="D69" t="s">
        <v>240</v>
      </c>
      <c r="E69" s="1">
        <v>274.8</v>
      </c>
      <c r="F69">
        <v>5</v>
      </c>
      <c r="G69" s="3">
        <v>0</v>
      </c>
      <c r="H69" s="2">
        <v>134.65199999999999</v>
      </c>
    </row>
    <row r="70" spans="1:8" x14ac:dyDescent="0.2">
      <c r="A70" t="s">
        <v>75</v>
      </c>
      <c r="B70" t="s">
        <v>230</v>
      </c>
      <c r="C70" t="s">
        <v>234</v>
      </c>
      <c r="D70" t="s">
        <v>240</v>
      </c>
      <c r="E70" s="1">
        <v>6.48</v>
      </c>
      <c r="F70">
        <v>1</v>
      </c>
      <c r="G70" s="3">
        <v>0</v>
      </c>
      <c r="H70" s="2">
        <v>3.1103999999999998</v>
      </c>
    </row>
    <row r="71" spans="1:8" x14ac:dyDescent="0.2">
      <c r="A71" t="s">
        <v>76</v>
      </c>
      <c r="B71" t="s">
        <v>231</v>
      </c>
      <c r="C71" t="s">
        <v>234</v>
      </c>
      <c r="D71" t="s">
        <v>247</v>
      </c>
      <c r="E71" s="1">
        <v>23.992000000000001</v>
      </c>
      <c r="F71">
        <v>2</v>
      </c>
      <c r="G71" s="3">
        <v>0.8</v>
      </c>
      <c r="H71" s="2">
        <v>-62.379199999999997</v>
      </c>
    </row>
    <row r="72" spans="1:8" x14ac:dyDescent="0.2">
      <c r="A72" t="s">
        <v>77</v>
      </c>
      <c r="B72" t="s">
        <v>230</v>
      </c>
      <c r="C72" t="s">
        <v>235</v>
      </c>
      <c r="D72" t="s">
        <v>241</v>
      </c>
      <c r="E72" s="1">
        <v>556.66499999999996</v>
      </c>
      <c r="F72">
        <v>5</v>
      </c>
      <c r="G72" s="3">
        <v>0.15</v>
      </c>
      <c r="H72" s="2">
        <v>6.5490000000000004</v>
      </c>
    </row>
    <row r="73" spans="1:8" x14ac:dyDescent="0.2">
      <c r="A73" t="s">
        <v>78</v>
      </c>
      <c r="B73" t="s">
        <v>230</v>
      </c>
      <c r="C73" t="s">
        <v>235</v>
      </c>
      <c r="D73" t="s">
        <v>238</v>
      </c>
      <c r="E73" s="1">
        <v>13.36</v>
      </c>
      <c r="F73">
        <v>5</v>
      </c>
      <c r="G73" s="3">
        <v>0.2</v>
      </c>
      <c r="H73" s="2">
        <v>4.008</v>
      </c>
    </row>
    <row r="74" spans="1:8" x14ac:dyDescent="0.2">
      <c r="A74" t="s">
        <v>79</v>
      </c>
      <c r="B74" t="s">
        <v>231</v>
      </c>
      <c r="C74" t="s">
        <v>234</v>
      </c>
      <c r="D74" t="s">
        <v>248</v>
      </c>
      <c r="E74" s="1">
        <v>59.752000000000002</v>
      </c>
      <c r="F74">
        <v>7</v>
      </c>
      <c r="G74" s="3">
        <v>0.2</v>
      </c>
      <c r="H74" s="2">
        <v>19.4194</v>
      </c>
    </row>
    <row r="75" spans="1:8" x14ac:dyDescent="0.2">
      <c r="A75" t="s">
        <v>80</v>
      </c>
      <c r="B75" t="s">
        <v>230</v>
      </c>
      <c r="C75" t="s">
        <v>234</v>
      </c>
      <c r="D75" t="s">
        <v>242</v>
      </c>
      <c r="E75" s="1">
        <v>807.75</v>
      </c>
      <c r="F75">
        <v>5</v>
      </c>
      <c r="G75" s="3">
        <v>0</v>
      </c>
      <c r="H75" s="2">
        <v>153.4725</v>
      </c>
    </row>
    <row r="76" spans="1:8" x14ac:dyDescent="0.2">
      <c r="A76" t="s">
        <v>81</v>
      </c>
      <c r="B76" t="s">
        <v>233</v>
      </c>
      <c r="C76" t="s">
        <v>234</v>
      </c>
      <c r="D76" t="s">
        <v>249</v>
      </c>
      <c r="E76" s="1">
        <v>21.93</v>
      </c>
      <c r="F76">
        <v>3</v>
      </c>
      <c r="G76" s="3">
        <v>0</v>
      </c>
      <c r="H76" s="2">
        <v>10.3071</v>
      </c>
    </row>
    <row r="77" spans="1:8" x14ac:dyDescent="0.2">
      <c r="A77" t="s">
        <v>82</v>
      </c>
      <c r="B77" t="s">
        <v>231</v>
      </c>
      <c r="C77" t="s">
        <v>236</v>
      </c>
      <c r="D77" t="s">
        <v>245</v>
      </c>
      <c r="E77" s="1">
        <v>86.97</v>
      </c>
      <c r="F77">
        <v>3</v>
      </c>
      <c r="G77" s="3">
        <v>0</v>
      </c>
      <c r="H77" s="2">
        <v>25.221299999999999</v>
      </c>
    </row>
    <row r="78" spans="1:8" x14ac:dyDescent="0.2">
      <c r="A78" t="s">
        <v>83</v>
      </c>
      <c r="B78" t="s">
        <v>230</v>
      </c>
      <c r="C78" t="s">
        <v>234</v>
      </c>
      <c r="D78" t="s">
        <v>237</v>
      </c>
      <c r="E78" s="1">
        <v>271.98399999999998</v>
      </c>
      <c r="F78">
        <v>2</v>
      </c>
      <c r="G78" s="3">
        <v>0.2</v>
      </c>
      <c r="H78" s="2">
        <v>88.394800000000004</v>
      </c>
    </row>
    <row r="79" spans="1:8" x14ac:dyDescent="0.2">
      <c r="A79" t="s">
        <v>84</v>
      </c>
      <c r="B79" t="s">
        <v>231</v>
      </c>
      <c r="C79" t="s">
        <v>236</v>
      </c>
      <c r="D79" t="s">
        <v>245</v>
      </c>
      <c r="E79" s="1">
        <v>1097.5440000000001</v>
      </c>
      <c r="F79">
        <v>7</v>
      </c>
      <c r="G79" s="3">
        <v>0.2</v>
      </c>
      <c r="H79" s="2">
        <v>123.47369999999999</v>
      </c>
    </row>
    <row r="80" spans="1:8" x14ac:dyDescent="0.2">
      <c r="A80" t="s">
        <v>85</v>
      </c>
      <c r="B80" t="s">
        <v>233</v>
      </c>
      <c r="C80" t="s">
        <v>236</v>
      </c>
      <c r="D80" t="s">
        <v>245</v>
      </c>
      <c r="E80" s="1">
        <v>824.97</v>
      </c>
      <c r="F80">
        <v>3</v>
      </c>
      <c r="G80" s="3">
        <v>0</v>
      </c>
      <c r="H80" s="2">
        <v>214.4922</v>
      </c>
    </row>
    <row r="81" spans="1:8" x14ac:dyDescent="0.2">
      <c r="A81" t="s">
        <v>86</v>
      </c>
      <c r="B81" t="s">
        <v>232</v>
      </c>
      <c r="C81" t="s">
        <v>236</v>
      </c>
      <c r="D81" t="s">
        <v>245</v>
      </c>
      <c r="E81" s="1">
        <v>27.992000000000001</v>
      </c>
      <c r="F81">
        <v>1</v>
      </c>
      <c r="G81" s="3">
        <v>0.2</v>
      </c>
      <c r="H81" s="2">
        <v>2.0994000000000002</v>
      </c>
    </row>
    <row r="82" spans="1:8" x14ac:dyDescent="0.2">
      <c r="A82" t="s">
        <v>87</v>
      </c>
      <c r="B82" t="s">
        <v>231</v>
      </c>
      <c r="C82" t="s">
        <v>235</v>
      </c>
      <c r="D82" t="s">
        <v>239</v>
      </c>
      <c r="E82" s="1">
        <v>389.97</v>
      </c>
      <c r="F82">
        <v>3</v>
      </c>
      <c r="G82" s="3">
        <v>0</v>
      </c>
      <c r="H82" s="2">
        <v>35.097299999999997</v>
      </c>
    </row>
    <row r="83" spans="1:8" x14ac:dyDescent="0.2">
      <c r="A83" t="s">
        <v>88</v>
      </c>
      <c r="B83" t="s">
        <v>233</v>
      </c>
      <c r="C83" t="s">
        <v>234</v>
      </c>
      <c r="D83" t="s">
        <v>247</v>
      </c>
      <c r="E83" s="1">
        <v>523.25</v>
      </c>
      <c r="F83">
        <v>5</v>
      </c>
      <c r="G83" s="3">
        <v>0</v>
      </c>
      <c r="H83" s="2">
        <v>141.2775</v>
      </c>
    </row>
    <row r="84" spans="1:8" x14ac:dyDescent="0.2">
      <c r="A84" t="s">
        <v>48</v>
      </c>
      <c r="B84" t="s">
        <v>230</v>
      </c>
      <c r="C84" t="s">
        <v>234</v>
      </c>
      <c r="D84" t="s">
        <v>242</v>
      </c>
      <c r="E84" s="1">
        <v>242.94</v>
      </c>
      <c r="F84">
        <v>3</v>
      </c>
      <c r="G84" s="3">
        <v>0</v>
      </c>
      <c r="H84" s="2">
        <v>9.7175999999999991</v>
      </c>
    </row>
    <row r="85" spans="1:8" x14ac:dyDescent="0.2">
      <c r="A85" t="s">
        <v>89</v>
      </c>
      <c r="B85" t="s">
        <v>232</v>
      </c>
      <c r="C85" t="s">
        <v>234</v>
      </c>
      <c r="D85" t="s">
        <v>247</v>
      </c>
      <c r="E85" s="1">
        <v>194.32</v>
      </c>
      <c r="F85">
        <v>4</v>
      </c>
      <c r="G85" s="3">
        <v>0</v>
      </c>
      <c r="H85" s="2">
        <v>56.352800000000002</v>
      </c>
    </row>
    <row r="86" spans="1:8" x14ac:dyDescent="0.2">
      <c r="A86" t="s">
        <v>90</v>
      </c>
      <c r="B86" t="s">
        <v>233</v>
      </c>
      <c r="C86" t="s">
        <v>234</v>
      </c>
      <c r="D86" t="s">
        <v>242</v>
      </c>
      <c r="E86" s="1">
        <v>107.44</v>
      </c>
      <c r="F86">
        <v>8</v>
      </c>
      <c r="G86" s="3">
        <v>0</v>
      </c>
      <c r="H86" s="2">
        <v>27.9344</v>
      </c>
    </row>
    <row r="87" spans="1:8" x14ac:dyDescent="0.2">
      <c r="A87" t="s">
        <v>91</v>
      </c>
      <c r="B87" t="s">
        <v>230</v>
      </c>
      <c r="C87" t="s">
        <v>236</v>
      </c>
      <c r="D87" t="s">
        <v>250</v>
      </c>
      <c r="E87" s="1">
        <v>686.4</v>
      </c>
      <c r="F87">
        <v>2</v>
      </c>
      <c r="G87" s="3">
        <v>0.2</v>
      </c>
      <c r="H87" s="2">
        <v>77.22</v>
      </c>
    </row>
    <row r="88" spans="1:8" x14ac:dyDescent="0.2">
      <c r="A88" t="s">
        <v>92</v>
      </c>
      <c r="B88" t="s">
        <v>230</v>
      </c>
      <c r="C88" t="s">
        <v>234</v>
      </c>
      <c r="D88" t="s">
        <v>240</v>
      </c>
      <c r="E88" s="1">
        <v>19.350000000000001</v>
      </c>
      <c r="F88">
        <v>3</v>
      </c>
      <c r="G88" s="3">
        <v>0</v>
      </c>
      <c r="H88" s="2">
        <v>9.4815000000000005</v>
      </c>
    </row>
    <row r="89" spans="1:8" x14ac:dyDescent="0.2">
      <c r="A89" t="s">
        <v>93</v>
      </c>
      <c r="B89" t="s">
        <v>233</v>
      </c>
      <c r="C89" t="s">
        <v>236</v>
      </c>
      <c r="D89" t="s">
        <v>246</v>
      </c>
      <c r="E89" s="1">
        <v>31.86</v>
      </c>
      <c r="F89">
        <v>2</v>
      </c>
      <c r="G89" s="3">
        <v>0</v>
      </c>
      <c r="H89" s="2">
        <v>11.151</v>
      </c>
    </row>
    <row r="90" spans="1:8" x14ac:dyDescent="0.2">
      <c r="A90" t="s">
        <v>95</v>
      </c>
      <c r="B90" t="s">
        <v>232</v>
      </c>
      <c r="C90" t="s">
        <v>234</v>
      </c>
      <c r="D90" t="s">
        <v>242</v>
      </c>
      <c r="E90" s="1">
        <v>147.184</v>
      </c>
      <c r="F90">
        <v>2</v>
      </c>
      <c r="G90" s="3">
        <v>0.2</v>
      </c>
      <c r="H90" s="2">
        <v>-29.436800000000002</v>
      </c>
    </row>
    <row r="91" spans="1:8" x14ac:dyDescent="0.2">
      <c r="A91" t="s">
        <v>94</v>
      </c>
      <c r="B91" t="s">
        <v>231</v>
      </c>
      <c r="C91" t="s">
        <v>235</v>
      </c>
      <c r="D91" t="s">
        <v>239</v>
      </c>
      <c r="E91" s="1">
        <v>47.991999999999997</v>
      </c>
      <c r="F91">
        <v>2</v>
      </c>
      <c r="G91" s="3">
        <v>0.3</v>
      </c>
      <c r="H91" s="2">
        <v>-2.0568</v>
      </c>
    </row>
    <row r="92" spans="1:8" x14ac:dyDescent="0.2">
      <c r="A92" t="s">
        <v>54</v>
      </c>
      <c r="B92" t="s">
        <v>230</v>
      </c>
      <c r="C92" t="s">
        <v>235</v>
      </c>
      <c r="D92" t="s">
        <v>238</v>
      </c>
      <c r="E92" s="1">
        <v>32.36</v>
      </c>
      <c r="F92">
        <v>4</v>
      </c>
      <c r="G92" s="3">
        <v>0</v>
      </c>
      <c r="H92" s="2">
        <v>11.6496</v>
      </c>
    </row>
    <row r="93" spans="1:8" x14ac:dyDescent="0.2">
      <c r="A93" t="s">
        <v>96</v>
      </c>
      <c r="B93" t="s">
        <v>231</v>
      </c>
      <c r="C93" t="s">
        <v>236</v>
      </c>
      <c r="D93" t="s">
        <v>245</v>
      </c>
      <c r="E93" s="1">
        <v>2735.9520000000002</v>
      </c>
      <c r="F93">
        <v>6</v>
      </c>
      <c r="G93" s="3">
        <v>0.2</v>
      </c>
      <c r="H93" s="2">
        <v>341.99400000000003</v>
      </c>
    </row>
    <row r="94" spans="1:8" x14ac:dyDescent="0.2">
      <c r="A94" t="s">
        <v>97</v>
      </c>
      <c r="B94" t="s">
        <v>230</v>
      </c>
      <c r="C94" t="s">
        <v>234</v>
      </c>
      <c r="D94" t="s">
        <v>248</v>
      </c>
      <c r="E94" s="1">
        <v>8.7840000000000007</v>
      </c>
      <c r="F94">
        <v>1</v>
      </c>
      <c r="G94" s="3">
        <v>0.2</v>
      </c>
      <c r="H94" s="2">
        <v>3.1842000000000001</v>
      </c>
    </row>
    <row r="95" spans="1:8" x14ac:dyDescent="0.2">
      <c r="A95" t="s">
        <v>98</v>
      </c>
      <c r="B95" t="s">
        <v>230</v>
      </c>
      <c r="C95" t="s">
        <v>236</v>
      </c>
      <c r="D95" t="s">
        <v>246</v>
      </c>
      <c r="E95" s="1">
        <v>107.97</v>
      </c>
      <c r="F95">
        <v>3</v>
      </c>
      <c r="G95" s="3">
        <v>0</v>
      </c>
      <c r="H95" s="2">
        <v>22.6737</v>
      </c>
    </row>
    <row r="96" spans="1:8" x14ac:dyDescent="0.2">
      <c r="A96" t="s">
        <v>99</v>
      </c>
      <c r="B96" t="s">
        <v>233</v>
      </c>
      <c r="C96" t="s">
        <v>234</v>
      </c>
      <c r="D96" t="s">
        <v>237</v>
      </c>
      <c r="E96" s="1">
        <v>12.816000000000001</v>
      </c>
      <c r="F96">
        <v>3</v>
      </c>
      <c r="G96" s="3">
        <v>0.2</v>
      </c>
      <c r="H96" s="2">
        <v>4.3254000000000001</v>
      </c>
    </row>
    <row r="97" spans="1:8" x14ac:dyDescent="0.2">
      <c r="A97" t="s">
        <v>100</v>
      </c>
      <c r="B97" t="s">
        <v>233</v>
      </c>
      <c r="C97" t="s">
        <v>234</v>
      </c>
      <c r="D97" t="s">
        <v>243</v>
      </c>
      <c r="E97" s="1">
        <v>21.4</v>
      </c>
      <c r="F97">
        <v>5</v>
      </c>
      <c r="G97" s="3">
        <v>0</v>
      </c>
      <c r="H97" s="2">
        <v>6.2060000000000004</v>
      </c>
    </row>
    <row r="98" spans="1:8" x14ac:dyDescent="0.2">
      <c r="A98" t="s">
        <v>101</v>
      </c>
      <c r="B98" t="s">
        <v>231</v>
      </c>
      <c r="C98" t="s">
        <v>234</v>
      </c>
      <c r="D98" t="s">
        <v>237</v>
      </c>
      <c r="E98" s="1">
        <v>6.9279999999999999</v>
      </c>
      <c r="F98">
        <v>1</v>
      </c>
      <c r="G98" s="3">
        <v>0.8</v>
      </c>
      <c r="H98" s="2">
        <v>-11.0848</v>
      </c>
    </row>
    <row r="99" spans="1:8" x14ac:dyDescent="0.2">
      <c r="A99" t="s">
        <v>102</v>
      </c>
      <c r="B99" t="s">
        <v>233</v>
      </c>
      <c r="C99" t="s">
        <v>236</v>
      </c>
      <c r="D99" t="s">
        <v>246</v>
      </c>
      <c r="E99" s="1">
        <v>159.97999999999999</v>
      </c>
      <c r="F99">
        <v>2</v>
      </c>
      <c r="G99" s="3">
        <v>0</v>
      </c>
      <c r="H99" s="2">
        <v>57.592799999999997</v>
      </c>
    </row>
    <row r="100" spans="1:8" x14ac:dyDescent="0.2">
      <c r="A100" t="s">
        <v>103</v>
      </c>
      <c r="B100" t="s">
        <v>233</v>
      </c>
      <c r="C100" t="s">
        <v>234</v>
      </c>
      <c r="D100" t="s">
        <v>240</v>
      </c>
      <c r="E100" s="1">
        <v>34.44</v>
      </c>
      <c r="F100">
        <v>3</v>
      </c>
      <c r="G100" s="3">
        <v>0</v>
      </c>
      <c r="H100" s="2">
        <v>17.22</v>
      </c>
    </row>
    <row r="101" spans="1:8" x14ac:dyDescent="0.2">
      <c r="A101" t="s">
        <v>104</v>
      </c>
      <c r="B101" t="s">
        <v>233</v>
      </c>
      <c r="C101" t="s">
        <v>234</v>
      </c>
      <c r="D101" t="s">
        <v>247</v>
      </c>
      <c r="E101" s="1">
        <v>61.96</v>
      </c>
      <c r="F101">
        <v>2</v>
      </c>
      <c r="G101" s="3">
        <v>0</v>
      </c>
      <c r="H101" s="2">
        <v>16.1096</v>
      </c>
    </row>
    <row r="102" spans="1:8" x14ac:dyDescent="0.2">
      <c r="A102" t="s">
        <v>105</v>
      </c>
      <c r="B102" t="s">
        <v>230</v>
      </c>
      <c r="C102" t="s">
        <v>235</v>
      </c>
      <c r="D102" t="s">
        <v>239</v>
      </c>
      <c r="E102" s="1">
        <v>321.56799999999998</v>
      </c>
      <c r="F102">
        <v>2</v>
      </c>
      <c r="G102" s="3">
        <v>0.2</v>
      </c>
      <c r="H102" s="2">
        <v>28.1372</v>
      </c>
    </row>
    <row r="103" spans="1:8" x14ac:dyDescent="0.2">
      <c r="A103" t="s">
        <v>106</v>
      </c>
      <c r="B103" t="s">
        <v>231</v>
      </c>
      <c r="C103" t="s">
        <v>235</v>
      </c>
      <c r="D103" t="s">
        <v>239</v>
      </c>
      <c r="E103" s="1">
        <v>603.91999999999996</v>
      </c>
      <c r="F103">
        <v>4</v>
      </c>
      <c r="G103" s="3">
        <v>0</v>
      </c>
      <c r="H103" s="2">
        <v>181.17599999999999</v>
      </c>
    </row>
    <row r="104" spans="1:8" x14ac:dyDescent="0.2">
      <c r="A104" t="s">
        <v>107</v>
      </c>
      <c r="B104" t="s">
        <v>230</v>
      </c>
      <c r="C104" t="s">
        <v>234</v>
      </c>
      <c r="D104" t="s">
        <v>242</v>
      </c>
      <c r="E104" s="1">
        <v>29.74</v>
      </c>
      <c r="F104">
        <v>1</v>
      </c>
      <c r="G104" s="3">
        <v>0</v>
      </c>
      <c r="H104" s="2">
        <v>4.4610000000000003</v>
      </c>
    </row>
    <row r="105" spans="1:8" x14ac:dyDescent="0.2">
      <c r="A105" t="s">
        <v>108</v>
      </c>
      <c r="B105" t="s">
        <v>233</v>
      </c>
      <c r="C105" t="s">
        <v>234</v>
      </c>
      <c r="D105" t="s">
        <v>243</v>
      </c>
      <c r="E105" s="1">
        <v>198.27199999999999</v>
      </c>
      <c r="F105">
        <v>8</v>
      </c>
      <c r="G105" s="3">
        <v>0.2</v>
      </c>
      <c r="H105" s="2">
        <v>17.348800000000001</v>
      </c>
    </row>
    <row r="106" spans="1:8" x14ac:dyDescent="0.2">
      <c r="A106" t="s">
        <v>109</v>
      </c>
      <c r="B106" t="s">
        <v>233</v>
      </c>
      <c r="C106" t="s">
        <v>235</v>
      </c>
      <c r="D106" t="s">
        <v>238</v>
      </c>
      <c r="E106" s="1">
        <v>30.36</v>
      </c>
      <c r="F106">
        <v>5</v>
      </c>
      <c r="G106" s="3">
        <v>0.2</v>
      </c>
      <c r="H106" s="2">
        <v>8.7285000000000004</v>
      </c>
    </row>
    <row r="107" spans="1:8" x14ac:dyDescent="0.2">
      <c r="A107" t="s">
        <v>110</v>
      </c>
      <c r="B107" t="s">
        <v>233</v>
      </c>
      <c r="C107" t="s">
        <v>236</v>
      </c>
      <c r="D107" t="s">
        <v>245</v>
      </c>
      <c r="E107" s="1">
        <v>773.94</v>
      </c>
      <c r="F107">
        <v>6</v>
      </c>
      <c r="G107" s="3">
        <v>0</v>
      </c>
      <c r="H107" s="2">
        <v>224.4426</v>
      </c>
    </row>
    <row r="108" spans="1:8" x14ac:dyDescent="0.2">
      <c r="A108" t="s">
        <v>111</v>
      </c>
      <c r="B108" t="s">
        <v>230</v>
      </c>
      <c r="C108" t="s">
        <v>234</v>
      </c>
      <c r="D108" t="s">
        <v>240</v>
      </c>
      <c r="E108" s="1">
        <v>12.96</v>
      </c>
      <c r="F108">
        <v>2</v>
      </c>
      <c r="G108" s="3">
        <v>0</v>
      </c>
      <c r="H108" s="2">
        <v>6.2207999999999997</v>
      </c>
    </row>
    <row r="109" spans="1:8" x14ac:dyDescent="0.2">
      <c r="A109" t="s">
        <v>23</v>
      </c>
      <c r="B109" t="s">
        <v>230</v>
      </c>
      <c r="C109" t="s">
        <v>235</v>
      </c>
      <c r="D109" t="s">
        <v>244</v>
      </c>
      <c r="E109" s="1">
        <v>1669.6</v>
      </c>
      <c r="F109">
        <v>4</v>
      </c>
      <c r="G109" s="3">
        <v>0</v>
      </c>
      <c r="H109" s="2">
        <v>116.872</v>
      </c>
    </row>
    <row r="110" spans="1:8" x14ac:dyDescent="0.2">
      <c r="A110" t="s">
        <v>112</v>
      </c>
      <c r="B110" t="s">
        <v>233</v>
      </c>
      <c r="C110" t="s">
        <v>234</v>
      </c>
      <c r="D110" t="s">
        <v>237</v>
      </c>
      <c r="E110" s="1">
        <v>13.896000000000001</v>
      </c>
      <c r="F110">
        <v>3</v>
      </c>
      <c r="G110" s="3">
        <v>0.7</v>
      </c>
      <c r="H110" s="2">
        <v>-9.2639999999999993</v>
      </c>
    </row>
    <row r="111" spans="1:8" x14ac:dyDescent="0.2">
      <c r="A111" t="s">
        <v>113</v>
      </c>
      <c r="B111" t="s">
        <v>230</v>
      </c>
      <c r="C111" t="s">
        <v>236</v>
      </c>
      <c r="D111" t="s">
        <v>245</v>
      </c>
      <c r="E111" s="1">
        <v>44.735999999999997</v>
      </c>
      <c r="F111">
        <v>8</v>
      </c>
      <c r="G111" s="3">
        <v>0.2</v>
      </c>
      <c r="H111" s="2">
        <v>4.4736000000000002</v>
      </c>
    </row>
    <row r="112" spans="1:8" x14ac:dyDescent="0.2">
      <c r="A112" t="s">
        <v>114</v>
      </c>
      <c r="B112" t="s">
        <v>232</v>
      </c>
      <c r="C112" t="s">
        <v>236</v>
      </c>
      <c r="D112" t="s">
        <v>246</v>
      </c>
      <c r="E112" s="1">
        <v>95.975999999999999</v>
      </c>
      <c r="F112">
        <v>3</v>
      </c>
      <c r="G112" s="3">
        <v>0.2</v>
      </c>
      <c r="H112" s="2">
        <v>15.5961</v>
      </c>
    </row>
    <row r="113" spans="1:8" x14ac:dyDescent="0.2">
      <c r="A113" t="s">
        <v>115</v>
      </c>
      <c r="B113" t="s">
        <v>232</v>
      </c>
      <c r="C113" t="s">
        <v>234</v>
      </c>
      <c r="D113" t="s">
        <v>237</v>
      </c>
      <c r="E113" s="1">
        <v>45.66</v>
      </c>
      <c r="F113">
        <v>3</v>
      </c>
      <c r="G113" s="3">
        <v>0</v>
      </c>
      <c r="H113" s="2">
        <v>22.3734</v>
      </c>
    </row>
    <row r="114" spans="1:8" x14ac:dyDescent="0.2">
      <c r="A114" t="s">
        <v>116</v>
      </c>
      <c r="B114" t="s">
        <v>232</v>
      </c>
      <c r="C114" t="s">
        <v>234</v>
      </c>
      <c r="D114" t="s">
        <v>237</v>
      </c>
      <c r="E114" s="1">
        <v>4.8120000000000003</v>
      </c>
      <c r="F114">
        <v>2</v>
      </c>
      <c r="G114" s="3">
        <v>0.7</v>
      </c>
      <c r="H114" s="2">
        <v>-3.6892</v>
      </c>
    </row>
    <row r="115" spans="1:8" x14ac:dyDescent="0.2">
      <c r="A115" t="s">
        <v>117</v>
      </c>
      <c r="B115" t="s">
        <v>230</v>
      </c>
      <c r="C115" t="s">
        <v>234</v>
      </c>
      <c r="D115" t="s">
        <v>243</v>
      </c>
      <c r="E115" s="1">
        <v>3.38</v>
      </c>
      <c r="F115">
        <v>1</v>
      </c>
      <c r="G115" s="3">
        <v>0</v>
      </c>
      <c r="H115" s="2">
        <v>1.2505999999999999</v>
      </c>
    </row>
    <row r="116" spans="1:8" x14ac:dyDescent="0.2">
      <c r="A116" t="s">
        <v>81</v>
      </c>
      <c r="B116" t="s">
        <v>232</v>
      </c>
      <c r="C116" t="s">
        <v>234</v>
      </c>
      <c r="D116" t="s">
        <v>242</v>
      </c>
      <c r="E116" s="1">
        <v>147.184</v>
      </c>
      <c r="F116">
        <v>2</v>
      </c>
      <c r="G116" s="3">
        <v>0.2</v>
      </c>
      <c r="H116" s="2">
        <v>-29.436800000000002</v>
      </c>
    </row>
    <row r="117" spans="1:8" x14ac:dyDescent="0.2">
      <c r="A117" t="s">
        <v>118</v>
      </c>
      <c r="B117" t="s">
        <v>230</v>
      </c>
      <c r="C117" t="s">
        <v>234</v>
      </c>
      <c r="D117" t="s">
        <v>247</v>
      </c>
      <c r="E117" s="1">
        <v>270.72000000000003</v>
      </c>
      <c r="F117">
        <v>3</v>
      </c>
      <c r="G117" s="3">
        <v>0</v>
      </c>
      <c r="H117" s="2">
        <v>78.508799999999994</v>
      </c>
    </row>
    <row r="118" spans="1:8" x14ac:dyDescent="0.2">
      <c r="A118" t="s">
        <v>119</v>
      </c>
      <c r="B118" t="s">
        <v>233</v>
      </c>
      <c r="C118" t="s">
        <v>234</v>
      </c>
      <c r="D118" t="s">
        <v>237</v>
      </c>
      <c r="E118" s="1">
        <v>10.36</v>
      </c>
      <c r="F118">
        <v>2</v>
      </c>
      <c r="G118" s="3">
        <v>0</v>
      </c>
      <c r="H118" s="2">
        <v>5.0763999999999996</v>
      </c>
    </row>
    <row r="119" spans="1:8" x14ac:dyDescent="0.2">
      <c r="A119" t="s">
        <v>120</v>
      </c>
      <c r="B119" t="s">
        <v>233</v>
      </c>
      <c r="C119" t="s">
        <v>234</v>
      </c>
      <c r="D119" t="s">
        <v>237</v>
      </c>
      <c r="E119" s="1">
        <v>61.04</v>
      </c>
      <c r="F119">
        <v>4</v>
      </c>
      <c r="G119" s="3">
        <v>0</v>
      </c>
      <c r="H119" s="2">
        <v>30.52</v>
      </c>
    </row>
    <row r="120" spans="1:8" x14ac:dyDescent="0.2">
      <c r="A120" t="s">
        <v>121</v>
      </c>
      <c r="B120" t="s">
        <v>233</v>
      </c>
      <c r="C120" t="s">
        <v>234</v>
      </c>
      <c r="D120" t="s">
        <v>242</v>
      </c>
      <c r="E120" s="1">
        <v>10.9</v>
      </c>
      <c r="F120">
        <v>1</v>
      </c>
      <c r="G120" s="3">
        <v>0</v>
      </c>
      <c r="H120" s="2">
        <v>2.8340000000000001</v>
      </c>
    </row>
    <row r="121" spans="1:8" x14ac:dyDescent="0.2">
      <c r="A121" t="s">
        <v>122</v>
      </c>
      <c r="B121" t="s">
        <v>230</v>
      </c>
      <c r="C121" t="s">
        <v>234</v>
      </c>
      <c r="D121" t="s">
        <v>237</v>
      </c>
      <c r="E121" s="1">
        <v>22.92</v>
      </c>
      <c r="F121">
        <v>5</v>
      </c>
      <c r="G121" s="3">
        <v>0.2</v>
      </c>
      <c r="H121" s="2">
        <v>8.0220000000000002</v>
      </c>
    </row>
    <row r="122" spans="1:8" x14ac:dyDescent="0.2">
      <c r="A122" t="s">
        <v>44</v>
      </c>
      <c r="B122" t="s">
        <v>232</v>
      </c>
      <c r="C122" t="s">
        <v>234</v>
      </c>
      <c r="D122" t="s">
        <v>251</v>
      </c>
      <c r="E122" s="1">
        <v>5.04</v>
      </c>
      <c r="F122">
        <v>2</v>
      </c>
      <c r="G122" s="3">
        <v>0</v>
      </c>
      <c r="H122" s="2">
        <v>0.1512</v>
      </c>
    </row>
    <row r="123" spans="1:8" x14ac:dyDescent="0.2">
      <c r="A123" t="s">
        <v>123</v>
      </c>
      <c r="B123" t="s">
        <v>231</v>
      </c>
      <c r="C123" t="s">
        <v>236</v>
      </c>
      <c r="D123" t="s">
        <v>245</v>
      </c>
      <c r="E123" s="1">
        <v>124.792</v>
      </c>
      <c r="F123">
        <v>1</v>
      </c>
      <c r="G123" s="3">
        <v>0.2</v>
      </c>
      <c r="H123" s="2">
        <v>10.9193</v>
      </c>
    </row>
    <row r="124" spans="1:8" x14ac:dyDescent="0.2">
      <c r="A124" t="s">
        <v>82</v>
      </c>
      <c r="B124" t="s">
        <v>231</v>
      </c>
      <c r="C124" t="s">
        <v>235</v>
      </c>
      <c r="D124" t="s">
        <v>241</v>
      </c>
      <c r="E124" s="1">
        <v>241.96</v>
      </c>
      <c r="F124">
        <v>2</v>
      </c>
      <c r="G124" s="3">
        <v>0</v>
      </c>
      <c r="H124" s="2">
        <v>41.133200000000002</v>
      </c>
    </row>
    <row r="125" spans="1:8" x14ac:dyDescent="0.2">
      <c r="A125" t="s">
        <v>47</v>
      </c>
      <c r="B125" t="s">
        <v>231</v>
      </c>
      <c r="C125" t="s">
        <v>234</v>
      </c>
      <c r="D125" t="s">
        <v>243</v>
      </c>
      <c r="E125" s="1">
        <v>21.5</v>
      </c>
      <c r="F125">
        <v>10</v>
      </c>
      <c r="G125" s="3">
        <v>0</v>
      </c>
      <c r="H125" s="2">
        <v>7.0949999999999998</v>
      </c>
    </row>
    <row r="126" spans="1:8" x14ac:dyDescent="0.2">
      <c r="A126" t="s">
        <v>124</v>
      </c>
      <c r="B126" t="s">
        <v>230</v>
      </c>
      <c r="C126" t="s">
        <v>235</v>
      </c>
      <c r="D126" t="s">
        <v>244</v>
      </c>
      <c r="E126" s="1">
        <v>1004.024</v>
      </c>
      <c r="F126">
        <v>7</v>
      </c>
      <c r="G126" s="3">
        <v>0.2</v>
      </c>
      <c r="H126" s="2">
        <v>-112.95269999999999</v>
      </c>
    </row>
    <row r="127" spans="1:8" x14ac:dyDescent="0.2">
      <c r="A127" t="s">
        <v>29</v>
      </c>
      <c r="B127" t="s">
        <v>231</v>
      </c>
      <c r="C127" t="s">
        <v>234</v>
      </c>
      <c r="D127" t="s">
        <v>247</v>
      </c>
      <c r="E127" s="1">
        <v>61.44</v>
      </c>
      <c r="F127">
        <v>3</v>
      </c>
      <c r="G127" s="3">
        <v>0</v>
      </c>
      <c r="H127" s="2">
        <v>16.588799999999999</v>
      </c>
    </row>
    <row r="128" spans="1:8" x14ac:dyDescent="0.2">
      <c r="A128" t="s">
        <v>125</v>
      </c>
      <c r="B128" t="s">
        <v>232</v>
      </c>
      <c r="C128" t="s">
        <v>236</v>
      </c>
      <c r="D128" t="s">
        <v>246</v>
      </c>
      <c r="E128" s="1">
        <v>47.92</v>
      </c>
      <c r="F128">
        <v>2</v>
      </c>
      <c r="G128" s="3">
        <v>0.2</v>
      </c>
      <c r="H128" s="2">
        <v>11.98</v>
      </c>
    </row>
    <row r="129" spans="1:8" x14ac:dyDescent="0.2">
      <c r="A129" t="s">
        <v>126</v>
      </c>
      <c r="B129" t="s">
        <v>233</v>
      </c>
      <c r="C129" t="s">
        <v>234</v>
      </c>
      <c r="D129" t="s">
        <v>237</v>
      </c>
      <c r="E129" s="1">
        <v>7.92</v>
      </c>
      <c r="F129">
        <v>4</v>
      </c>
      <c r="G129" s="3">
        <v>0</v>
      </c>
      <c r="H129" s="2">
        <v>3.5640000000000001</v>
      </c>
    </row>
    <row r="130" spans="1:8" x14ac:dyDescent="0.2">
      <c r="A130" t="s">
        <v>58</v>
      </c>
      <c r="B130" t="s">
        <v>233</v>
      </c>
      <c r="C130" t="s">
        <v>236</v>
      </c>
      <c r="D130" t="s">
        <v>252</v>
      </c>
      <c r="E130" s="1">
        <v>10499.97</v>
      </c>
      <c r="F130">
        <v>3</v>
      </c>
      <c r="G130" s="3">
        <v>0</v>
      </c>
      <c r="H130" s="2">
        <v>5039.9856</v>
      </c>
    </row>
    <row r="131" spans="1:8" x14ac:dyDescent="0.2">
      <c r="A131" t="s">
        <v>127</v>
      </c>
      <c r="B131" t="s">
        <v>230</v>
      </c>
      <c r="C131" t="s">
        <v>234</v>
      </c>
      <c r="D131" t="s">
        <v>247</v>
      </c>
      <c r="E131" s="1">
        <v>8.6199999999999992</v>
      </c>
      <c r="F131">
        <v>1</v>
      </c>
      <c r="G131" s="3">
        <v>0</v>
      </c>
      <c r="H131" s="2">
        <v>2.2412000000000001</v>
      </c>
    </row>
    <row r="132" spans="1:8" x14ac:dyDescent="0.2">
      <c r="A132" t="s">
        <v>128</v>
      </c>
      <c r="B132" t="s">
        <v>230</v>
      </c>
      <c r="C132" t="s">
        <v>234</v>
      </c>
      <c r="D132" t="s">
        <v>253</v>
      </c>
      <c r="E132" s="1">
        <v>3.62</v>
      </c>
      <c r="F132">
        <v>2</v>
      </c>
      <c r="G132" s="3">
        <v>0</v>
      </c>
      <c r="H132" s="2">
        <v>1.1946000000000001</v>
      </c>
    </row>
    <row r="133" spans="1:8" x14ac:dyDescent="0.2">
      <c r="A133" t="s">
        <v>83</v>
      </c>
      <c r="B133" t="s">
        <v>231</v>
      </c>
      <c r="C133" t="s">
        <v>234</v>
      </c>
      <c r="D133" t="s">
        <v>237</v>
      </c>
      <c r="E133" s="1">
        <v>83.7</v>
      </c>
      <c r="F133">
        <v>5</v>
      </c>
      <c r="G133" s="3">
        <v>0</v>
      </c>
      <c r="H133" s="2">
        <v>41.012999999999998</v>
      </c>
    </row>
    <row r="134" spans="1:8" x14ac:dyDescent="0.2">
      <c r="A134" t="s">
        <v>69</v>
      </c>
      <c r="B134" t="s">
        <v>231</v>
      </c>
      <c r="C134" t="s">
        <v>235</v>
      </c>
      <c r="D134" t="s">
        <v>238</v>
      </c>
      <c r="E134" s="1">
        <v>25.128</v>
      </c>
      <c r="F134">
        <v>3</v>
      </c>
      <c r="G134" s="3">
        <v>0.6</v>
      </c>
      <c r="H134" s="2">
        <v>-6.9101999999999997</v>
      </c>
    </row>
    <row r="135" spans="1:8" x14ac:dyDescent="0.2">
      <c r="A135" t="s">
        <v>24</v>
      </c>
      <c r="B135" t="s">
        <v>233</v>
      </c>
      <c r="C135" t="s">
        <v>234</v>
      </c>
      <c r="D135" t="s">
        <v>240</v>
      </c>
      <c r="E135" s="1">
        <v>11.54</v>
      </c>
      <c r="F135">
        <v>1</v>
      </c>
      <c r="G135" s="3">
        <v>0</v>
      </c>
      <c r="H135" s="2">
        <v>5.5392000000000001</v>
      </c>
    </row>
    <row r="136" spans="1:8" x14ac:dyDescent="0.2">
      <c r="A136" t="s">
        <v>129</v>
      </c>
      <c r="B136" t="s">
        <v>231</v>
      </c>
      <c r="C136" t="s">
        <v>234</v>
      </c>
      <c r="D136" t="s">
        <v>240</v>
      </c>
      <c r="E136" s="1">
        <v>63.311999999999998</v>
      </c>
      <c r="F136">
        <v>3</v>
      </c>
      <c r="G136" s="3">
        <v>0.2</v>
      </c>
      <c r="H136" s="2">
        <v>20.5764</v>
      </c>
    </row>
    <row r="137" spans="1:8" x14ac:dyDescent="0.2">
      <c r="A137" t="s">
        <v>130</v>
      </c>
      <c r="B137" t="s">
        <v>233</v>
      </c>
      <c r="C137" t="s">
        <v>234</v>
      </c>
      <c r="D137" t="s">
        <v>248</v>
      </c>
      <c r="E137" s="1">
        <v>348.488</v>
      </c>
      <c r="F137">
        <v>7</v>
      </c>
      <c r="G137" s="3">
        <v>0.2</v>
      </c>
      <c r="H137" s="2">
        <v>117.6147</v>
      </c>
    </row>
    <row r="138" spans="1:8" x14ac:dyDescent="0.2">
      <c r="A138" t="s">
        <v>131</v>
      </c>
      <c r="B138" t="s">
        <v>233</v>
      </c>
      <c r="C138" t="s">
        <v>236</v>
      </c>
      <c r="D138" t="s">
        <v>246</v>
      </c>
      <c r="E138" s="1">
        <v>63.88</v>
      </c>
      <c r="F138">
        <v>4</v>
      </c>
      <c r="G138" s="3">
        <v>0</v>
      </c>
      <c r="H138" s="2">
        <v>24.9132</v>
      </c>
    </row>
    <row r="139" spans="1:8" x14ac:dyDescent="0.2">
      <c r="A139" t="s">
        <v>132</v>
      </c>
      <c r="B139" t="s">
        <v>231</v>
      </c>
      <c r="C139" t="s">
        <v>234</v>
      </c>
      <c r="D139" t="s">
        <v>237</v>
      </c>
      <c r="E139" s="1">
        <v>121.6</v>
      </c>
      <c r="F139">
        <v>4</v>
      </c>
      <c r="G139" s="3">
        <v>0</v>
      </c>
      <c r="H139" s="2">
        <v>55.936</v>
      </c>
    </row>
    <row r="140" spans="1:8" x14ac:dyDescent="0.2">
      <c r="A140" t="s">
        <v>133</v>
      </c>
      <c r="B140" t="s">
        <v>232</v>
      </c>
      <c r="C140" t="s">
        <v>234</v>
      </c>
      <c r="D140" t="s">
        <v>249</v>
      </c>
      <c r="E140" s="1">
        <v>9</v>
      </c>
      <c r="F140">
        <v>3</v>
      </c>
      <c r="G140" s="3">
        <v>0.2</v>
      </c>
      <c r="H140" s="2">
        <v>3.15</v>
      </c>
    </row>
    <row r="141" spans="1:8" x14ac:dyDescent="0.2">
      <c r="A141" t="s">
        <v>134</v>
      </c>
      <c r="B141" t="s">
        <v>230</v>
      </c>
      <c r="C141" t="s">
        <v>236</v>
      </c>
      <c r="D141" t="s">
        <v>245</v>
      </c>
      <c r="E141" s="1">
        <v>7.992</v>
      </c>
      <c r="F141">
        <v>1</v>
      </c>
      <c r="G141" s="3">
        <v>0.2</v>
      </c>
      <c r="H141" s="2">
        <v>2.6972999999999998</v>
      </c>
    </row>
    <row r="142" spans="1:8" x14ac:dyDescent="0.2">
      <c r="A142" t="s">
        <v>38</v>
      </c>
      <c r="B142" t="s">
        <v>230</v>
      </c>
      <c r="C142" t="s">
        <v>234</v>
      </c>
      <c r="D142" t="s">
        <v>243</v>
      </c>
      <c r="E142" s="1">
        <v>99.2</v>
      </c>
      <c r="F142">
        <v>5</v>
      </c>
      <c r="G142" s="3">
        <v>0</v>
      </c>
      <c r="H142" s="2">
        <v>25.792000000000002</v>
      </c>
    </row>
    <row r="143" spans="1:8" x14ac:dyDescent="0.2">
      <c r="A143" t="s">
        <v>135</v>
      </c>
      <c r="B143" t="s">
        <v>230</v>
      </c>
      <c r="C143" t="s">
        <v>236</v>
      </c>
      <c r="D143" t="s">
        <v>245</v>
      </c>
      <c r="E143" s="1">
        <v>2575.944</v>
      </c>
      <c r="F143">
        <v>7</v>
      </c>
      <c r="G143" s="3">
        <v>0.2</v>
      </c>
      <c r="H143" s="2">
        <v>257.59440000000001</v>
      </c>
    </row>
    <row r="144" spans="1:8" x14ac:dyDescent="0.2">
      <c r="A144" t="s">
        <v>136</v>
      </c>
      <c r="B144" t="s">
        <v>230</v>
      </c>
      <c r="C144" t="s">
        <v>235</v>
      </c>
      <c r="D144" t="s">
        <v>241</v>
      </c>
      <c r="E144" s="1">
        <v>683.33199999999999</v>
      </c>
      <c r="F144">
        <v>4</v>
      </c>
      <c r="G144" s="3">
        <v>0.15</v>
      </c>
      <c r="H144" s="2">
        <v>-40.195999999999998</v>
      </c>
    </row>
    <row r="145" spans="1:8" x14ac:dyDescent="0.2">
      <c r="A145" t="s">
        <v>137</v>
      </c>
      <c r="B145" t="s">
        <v>231</v>
      </c>
      <c r="C145" t="s">
        <v>236</v>
      </c>
      <c r="D145" t="s">
        <v>245</v>
      </c>
      <c r="E145" s="1">
        <v>149.94999999999999</v>
      </c>
      <c r="F145">
        <v>5</v>
      </c>
      <c r="G145" s="3">
        <v>0</v>
      </c>
      <c r="H145" s="2">
        <v>41.985999999999997</v>
      </c>
    </row>
    <row r="146" spans="1:8" x14ac:dyDescent="0.2">
      <c r="A146" t="s">
        <v>138</v>
      </c>
      <c r="B146" t="s">
        <v>232</v>
      </c>
      <c r="C146" t="s">
        <v>236</v>
      </c>
      <c r="D146" t="s">
        <v>252</v>
      </c>
      <c r="E146" s="1">
        <v>899.97</v>
      </c>
      <c r="F146">
        <v>3</v>
      </c>
      <c r="G146" s="3">
        <v>0</v>
      </c>
      <c r="H146" s="2">
        <v>314.98950000000002</v>
      </c>
    </row>
    <row r="147" spans="1:8" x14ac:dyDescent="0.2">
      <c r="A147" t="s">
        <v>139</v>
      </c>
      <c r="B147" t="s">
        <v>231</v>
      </c>
      <c r="C147" t="s">
        <v>234</v>
      </c>
      <c r="D147" t="s">
        <v>237</v>
      </c>
      <c r="E147" s="1">
        <v>13.456</v>
      </c>
      <c r="F147">
        <v>1</v>
      </c>
      <c r="G147" s="3">
        <v>0.8</v>
      </c>
      <c r="H147" s="2">
        <v>-23.547999999999998</v>
      </c>
    </row>
    <row r="148" spans="1:8" x14ac:dyDescent="0.2">
      <c r="A148" t="s">
        <v>119</v>
      </c>
      <c r="B148" t="s">
        <v>230</v>
      </c>
      <c r="C148" t="s">
        <v>234</v>
      </c>
      <c r="D148" t="s">
        <v>237</v>
      </c>
      <c r="E148" s="1">
        <v>72.587999999999994</v>
      </c>
      <c r="F148">
        <v>2</v>
      </c>
      <c r="G148" s="3">
        <v>0.7</v>
      </c>
      <c r="H148" s="2">
        <v>-48.392000000000003</v>
      </c>
    </row>
    <row r="149" spans="1:8" x14ac:dyDescent="0.2">
      <c r="A149" t="s">
        <v>140</v>
      </c>
      <c r="B149" t="s">
        <v>232</v>
      </c>
      <c r="C149" t="s">
        <v>234</v>
      </c>
      <c r="D149" t="s">
        <v>243</v>
      </c>
      <c r="E149" s="1">
        <v>40.049999999999997</v>
      </c>
      <c r="F149">
        <v>3</v>
      </c>
      <c r="G149" s="3">
        <v>0</v>
      </c>
      <c r="H149" s="2">
        <v>11.214</v>
      </c>
    </row>
    <row r="150" spans="1:8" x14ac:dyDescent="0.2">
      <c r="A150" t="s">
        <v>141</v>
      </c>
      <c r="B150" t="s">
        <v>232</v>
      </c>
      <c r="C150" t="s">
        <v>234</v>
      </c>
      <c r="D150" t="s">
        <v>247</v>
      </c>
      <c r="E150" s="1">
        <v>45.216000000000001</v>
      </c>
      <c r="F150">
        <v>3</v>
      </c>
      <c r="G150" s="3">
        <v>0.2</v>
      </c>
      <c r="H150" s="2">
        <v>4.5216000000000003</v>
      </c>
    </row>
    <row r="151" spans="1:8" x14ac:dyDescent="0.2">
      <c r="A151" t="s">
        <v>142</v>
      </c>
      <c r="B151" t="s">
        <v>231</v>
      </c>
      <c r="C151" t="s">
        <v>234</v>
      </c>
      <c r="D151" t="s">
        <v>240</v>
      </c>
      <c r="E151" s="1">
        <v>32.368000000000002</v>
      </c>
      <c r="F151">
        <v>7</v>
      </c>
      <c r="G151" s="3">
        <v>0.2</v>
      </c>
      <c r="H151" s="2">
        <v>11.7334</v>
      </c>
    </row>
    <row r="152" spans="1:8" x14ac:dyDescent="0.2">
      <c r="A152" t="s">
        <v>143</v>
      </c>
      <c r="B152" t="s">
        <v>232</v>
      </c>
      <c r="C152" t="s">
        <v>235</v>
      </c>
      <c r="D152" t="s">
        <v>239</v>
      </c>
      <c r="E152" s="1">
        <v>218.376</v>
      </c>
      <c r="F152">
        <v>3</v>
      </c>
      <c r="G152" s="3">
        <v>0.2</v>
      </c>
      <c r="H152" s="2">
        <v>-10.918799999999999</v>
      </c>
    </row>
    <row r="153" spans="1:8" x14ac:dyDescent="0.2">
      <c r="A153" t="s">
        <v>144</v>
      </c>
      <c r="B153" t="s">
        <v>230</v>
      </c>
      <c r="C153" t="s">
        <v>234</v>
      </c>
      <c r="D153" t="s">
        <v>251</v>
      </c>
      <c r="E153" s="1">
        <v>47.991999999999997</v>
      </c>
      <c r="F153">
        <v>7</v>
      </c>
      <c r="G153" s="3">
        <v>0.2</v>
      </c>
      <c r="H153" s="2">
        <v>3.5994000000000002</v>
      </c>
    </row>
    <row r="154" spans="1:8" x14ac:dyDescent="0.2">
      <c r="A154" t="s">
        <v>145</v>
      </c>
      <c r="B154" t="s">
        <v>233</v>
      </c>
      <c r="C154" t="s">
        <v>234</v>
      </c>
      <c r="D154" t="s">
        <v>249</v>
      </c>
      <c r="E154" s="1">
        <v>15.12</v>
      </c>
      <c r="F154">
        <v>3</v>
      </c>
      <c r="G154" s="3">
        <v>0.2</v>
      </c>
      <c r="H154" s="2">
        <v>4.9139999999999997</v>
      </c>
    </row>
    <row r="155" spans="1:8" x14ac:dyDescent="0.2">
      <c r="A155" t="s">
        <v>34</v>
      </c>
      <c r="B155" t="s">
        <v>233</v>
      </c>
      <c r="C155" t="s">
        <v>236</v>
      </c>
      <c r="D155" t="s">
        <v>245</v>
      </c>
      <c r="E155" s="1">
        <v>2.97</v>
      </c>
      <c r="F155">
        <v>1</v>
      </c>
      <c r="G155" s="3">
        <v>0.4</v>
      </c>
      <c r="H155" s="2">
        <v>-0.64349999999999996</v>
      </c>
    </row>
    <row r="156" spans="1:8" x14ac:dyDescent="0.2">
      <c r="A156" t="s">
        <v>146</v>
      </c>
      <c r="B156" t="s">
        <v>232</v>
      </c>
      <c r="C156" t="s">
        <v>235</v>
      </c>
      <c r="D156" t="s">
        <v>238</v>
      </c>
      <c r="E156" s="1">
        <v>18.690000000000001</v>
      </c>
      <c r="F156">
        <v>7</v>
      </c>
      <c r="G156" s="3">
        <v>0</v>
      </c>
      <c r="H156" s="2">
        <v>7.1021999999999998</v>
      </c>
    </row>
    <row r="157" spans="1:8" x14ac:dyDescent="0.2">
      <c r="A157" t="s">
        <v>147</v>
      </c>
      <c r="B157" t="s">
        <v>233</v>
      </c>
      <c r="C157" t="s">
        <v>235</v>
      </c>
      <c r="D157" t="s">
        <v>238</v>
      </c>
      <c r="E157" s="1">
        <v>54.991999999999997</v>
      </c>
      <c r="F157">
        <v>14</v>
      </c>
      <c r="G157" s="3">
        <v>0.2</v>
      </c>
      <c r="H157" s="2">
        <v>8.9361999999999995</v>
      </c>
    </row>
    <row r="158" spans="1:8" x14ac:dyDescent="0.2">
      <c r="A158" t="s">
        <v>148</v>
      </c>
      <c r="B158" t="s">
        <v>233</v>
      </c>
      <c r="C158" t="s">
        <v>236</v>
      </c>
      <c r="D158" t="s">
        <v>245</v>
      </c>
      <c r="E158" s="1">
        <v>138</v>
      </c>
      <c r="F158">
        <v>2</v>
      </c>
      <c r="G158" s="3">
        <v>0</v>
      </c>
      <c r="H158" s="2">
        <v>34.5</v>
      </c>
    </row>
    <row r="159" spans="1:8" x14ac:dyDescent="0.2">
      <c r="A159" t="s">
        <v>149</v>
      </c>
      <c r="B159" t="s">
        <v>233</v>
      </c>
      <c r="C159" t="s">
        <v>234</v>
      </c>
      <c r="D159" t="s">
        <v>237</v>
      </c>
      <c r="E159" s="1">
        <v>12.672000000000001</v>
      </c>
      <c r="F159">
        <v>3</v>
      </c>
      <c r="G159" s="3">
        <v>0.2</v>
      </c>
      <c r="H159" s="2">
        <v>4.4352</v>
      </c>
    </row>
    <row r="160" spans="1:8" x14ac:dyDescent="0.2">
      <c r="A160" t="s">
        <v>80</v>
      </c>
      <c r="B160" t="s">
        <v>230</v>
      </c>
      <c r="C160" t="s">
        <v>234</v>
      </c>
      <c r="D160" t="s">
        <v>242</v>
      </c>
      <c r="E160" s="1">
        <v>62.18</v>
      </c>
      <c r="F160">
        <v>1</v>
      </c>
      <c r="G160" s="3">
        <v>0</v>
      </c>
      <c r="H160" s="2">
        <v>16.788599999999999</v>
      </c>
    </row>
    <row r="161" spans="1:8" x14ac:dyDescent="0.2">
      <c r="A161" t="s">
        <v>150</v>
      </c>
      <c r="B161" t="s">
        <v>232</v>
      </c>
      <c r="C161" t="s">
        <v>235</v>
      </c>
      <c r="D161" t="s">
        <v>244</v>
      </c>
      <c r="E161" s="1">
        <v>721.875</v>
      </c>
      <c r="F161">
        <v>6</v>
      </c>
      <c r="G161" s="3">
        <v>0.45</v>
      </c>
      <c r="H161" s="2">
        <v>-420</v>
      </c>
    </row>
    <row r="162" spans="1:8" x14ac:dyDescent="0.2">
      <c r="A162" t="s">
        <v>151</v>
      </c>
      <c r="B162" t="s">
        <v>230</v>
      </c>
      <c r="C162" t="s">
        <v>235</v>
      </c>
      <c r="D162" t="s">
        <v>244</v>
      </c>
      <c r="E162" s="1">
        <v>801.6</v>
      </c>
      <c r="F162">
        <v>5</v>
      </c>
      <c r="G162" s="3">
        <v>0.5</v>
      </c>
      <c r="H162" s="2">
        <v>-448.89600000000002</v>
      </c>
    </row>
    <row r="163" spans="1:8" x14ac:dyDescent="0.2">
      <c r="A163" t="s">
        <v>152</v>
      </c>
      <c r="B163" t="s">
        <v>231</v>
      </c>
      <c r="C163" t="s">
        <v>234</v>
      </c>
      <c r="D163" t="s">
        <v>242</v>
      </c>
      <c r="E163" s="1">
        <v>61.792000000000002</v>
      </c>
      <c r="F163">
        <v>4</v>
      </c>
      <c r="G163" s="3">
        <v>0.2</v>
      </c>
      <c r="H163" s="2">
        <v>6.1791999999999998</v>
      </c>
    </row>
    <row r="164" spans="1:8" x14ac:dyDescent="0.2">
      <c r="A164" t="s">
        <v>153</v>
      </c>
      <c r="B164" t="s">
        <v>233</v>
      </c>
      <c r="C164" t="s">
        <v>234</v>
      </c>
      <c r="D164" t="s">
        <v>243</v>
      </c>
      <c r="E164" s="1">
        <v>2.6240000000000001</v>
      </c>
      <c r="F164">
        <v>1</v>
      </c>
      <c r="G164" s="3">
        <v>0.2</v>
      </c>
      <c r="H164" s="2">
        <v>0.29520000000000002</v>
      </c>
    </row>
    <row r="165" spans="1:8" x14ac:dyDescent="0.2">
      <c r="A165" t="s">
        <v>154</v>
      </c>
      <c r="B165" t="s">
        <v>230</v>
      </c>
      <c r="C165" t="s">
        <v>234</v>
      </c>
      <c r="D165" t="s">
        <v>237</v>
      </c>
      <c r="E165" s="1">
        <v>147.91999999999999</v>
      </c>
      <c r="F165">
        <v>5</v>
      </c>
      <c r="G165" s="3">
        <v>0.2</v>
      </c>
      <c r="H165" s="2">
        <v>46.225000000000001</v>
      </c>
    </row>
    <row r="166" spans="1:8" x14ac:dyDescent="0.2">
      <c r="A166" t="s">
        <v>64</v>
      </c>
      <c r="B166" t="s">
        <v>230</v>
      </c>
      <c r="C166" t="s">
        <v>234</v>
      </c>
      <c r="D166" t="s">
        <v>249</v>
      </c>
      <c r="E166" s="1">
        <v>12.6</v>
      </c>
      <c r="F166">
        <v>2</v>
      </c>
      <c r="G166" s="3">
        <v>0</v>
      </c>
      <c r="H166" s="2">
        <v>5.7960000000000003</v>
      </c>
    </row>
    <row r="167" spans="1:8" x14ac:dyDescent="0.2">
      <c r="A167" t="s">
        <v>155</v>
      </c>
      <c r="B167" t="s">
        <v>230</v>
      </c>
      <c r="C167" t="s">
        <v>235</v>
      </c>
      <c r="D167" t="s">
        <v>238</v>
      </c>
      <c r="E167" s="1">
        <v>27.92</v>
      </c>
      <c r="F167">
        <v>4</v>
      </c>
      <c r="G167" s="3">
        <v>0</v>
      </c>
      <c r="H167" s="2">
        <v>8.0968</v>
      </c>
    </row>
    <row r="168" spans="1:8" x14ac:dyDescent="0.2">
      <c r="A168" t="s">
        <v>156</v>
      </c>
      <c r="B168" t="s">
        <v>231</v>
      </c>
      <c r="C168" t="s">
        <v>236</v>
      </c>
      <c r="D168" t="s">
        <v>246</v>
      </c>
      <c r="E168" s="1">
        <v>319.96800000000002</v>
      </c>
      <c r="F168">
        <v>4</v>
      </c>
      <c r="G168" s="3">
        <v>0.2</v>
      </c>
      <c r="H168" s="2">
        <v>95.990399999999994</v>
      </c>
    </row>
    <row r="169" spans="1:8" x14ac:dyDescent="0.2">
      <c r="A169" t="s">
        <v>157</v>
      </c>
      <c r="B169" t="s">
        <v>231</v>
      </c>
      <c r="C169" t="s">
        <v>234</v>
      </c>
      <c r="D169" t="s">
        <v>248</v>
      </c>
      <c r="E169" s="1">
        <v>13.984</v>
      </c>
      <c r="F169">
        <v>2</v>
      </c>
      <c r="G169" s="3">
        <v>0.2</v>
      </c>
      <c r="H169" s="2">
        <v>4.7195999999999998</v>
      </c>
    </row>
    <row r="170" spans="1:8" x14ac:dyDescent="0.2">
      <c r="A170" t="s">
        <v>100</v>
      </c>
      <c r="B170" t="s">
        <v>233</v>
      </c>
      <c r="C170" t="s">
        <v>236</v>
      </c>
      <c r="D170" t="s">
        <v>245</v>
      </c>
      <c r="E170" s="1">
        <v>1322.93</v>
      </c>
      <c r="F170">
        <v>7</v>
      </c>
      <c r="G170" s="3">
        <v>0</v>
      </c>
      <c r="H170" s="2">
        <v>357.19110000000001</v>
      </c>
    </row>
    <row r="171" spans="1:8" x14ac:dyDescent="0.2">
      <c r="A171" t="s">
        <v>158</v>
      </c>
      <c r="B171" t="s">
        <v>233</v>
      </c>
      <c r="C171" t="s">
        <v>236</v>
      </c>
      <c r="D171" t="s">
        <v>250</v>
      </c>
      <c r="E171" s="1">
        <v>9099.93</v>
      </c>
      <c r="F171">
        <v>7</v>
      </c>
      <c r="G171" s="3">
        <v>0</v>
      </c>
      <c r="H171" s="2">
        <v>2365.9818</v>
      </c>
    </row>
    <row r="172" spans="1:8" x14ac:dyDescent="0.2">
      <c r="A172" t="s">
        <v>159</v>
      </c>
      <c r="B172" t="s">
        <v>230</v>
      </c>
      <c r="C172" t="s">
        <v>234</v>
      </c>
      <c r="D172" t="s">
        <v>240</v>
      </c>
      <c r="E172" s="1">
        <v>11.96</v>
      </c>
      <c r="F172">
        <v>2</v>
      </c>
      <c r="G172" s="3">
        <v>0</v>
      </c>
      <c r="H172" s="2">
        <v>5.3819999999999997</v>
      </c>
    </row>
    <row r="173" spans="1:8" x14ac:dyDescent="0.2">
      <c r="A173" t="s">
        <v>160</v>
      </c>
      <c r="B173" t="s">
        <v>233</v>
      </c>
      <c r="C173" t="s">
        <v>236</v>
      </c>
      <c r="D173" t="s">
        <v>246</v>
      </c>
      <c r="E173" s="1">
        <v>2249.91</v>
      </c>
      <c r="F173">
        <v>9</v>
      </c>
      <c r="G173" s="3">
        <v>0</v>
      </c>
      <c r="H173" s="2">
        <v>517.47929999999997</v>
      </c>
    </row>
    <row r="174" spans="1:8" x14ac:dyDescent="0.2">
      <c r="A174" t="s">
        <v>161</v>
      </c>
      <c r="B174" t="s">
        <v>232</v>
      </c>
      <c r="C174" t="s">
        <v>234</v>
      </c>
      <c r="D174" t="s">
        <v>251</v>
      </c>
      <c r="E174" s="1">
        <v>5.5519999999999996</v>
      </c>
      <c r="F174">
        <v>2</v>
      </c>
      <c r="G174" s="3">
        <v>0.2</v>
      </c>
      <c r="H174" s="2">
        <v>-1.0409999999999999</v>
      </c>
    </row>
    <row r="175" spans="1:8" x14ac:dyDescent="0.2">
      <c r="A175" t="s">
        <v>162</v>
      </c>
      <c r="B175" t="s">
        <v>230</v>
      </c>
      <c r="C175" t="s">
        <v>234</v>
      </c>
      <c r="D175" t="s">
        <v>242</v>
      </c>
      <c r="E175" s="1">
        <v>100.70399999999999</v>
      </c>
      <c r="F175">
        <v>6</v>
      </c>
      <c r="G175" s="3">
        <v>0.2</v>
      </c>
      <c r="H175" s="2">
        <v>-1.2587999999999999</v>
      </c>
    </row>
    <row r="176" spans="1:8" x14ac:dyDescent="0.2">
      <c r="A176" t="s">
        <v>163</v>
      </c>
      <c r="B176" t="s">
        <v>230</v>
      </c>
      <c r="C176" t="s">
        <v>236</v>
      </c>
      <c r="D176" t="s">
        <v>245</v>
      </c>
      <c r="E176" s="1">
        <v>71.975999999999999</v>
      </c>
      <c r="F176">
        <v>3</v>
      </c>
      <c r="G176" s="3">
        <v>0.2</v>
      </c>
      <c r="H176" s="2">
        <v>7.1976000000000004</v>
      </c>
    </row>
    <row r="177" spans="1:8" x14ac:dyDescent="0.2">
      <c r="A177" t="s">
        <v>164</v>
      </c>
      <c r="B177" t="s">
        <v>233</v>
      </c>
      <c r="C177" t="s">
        <v>235</v>
      </c>
      <c r="D177" t="s">
        <v>238</v>
      </c>
      <c r="E177" s="1">
        <v>77.951999999999998</v>
      </c>
      <c r="F177">
        <v>3</v>
      </c>
      <c r="G177" s="3">
        <v>0.2</v>
      </c>
      <c r="H177" s="2">
        <v>15.590400000000001</v>
      </c>
    </row>
    <row r="178" spans="1:8" x14ac:dyDescent="0.2">
      <c r="A178" t="s">
        <v>165</v>
      </c>
      <c r="B178" t="s">
        <v>230</v>
      </c>
      <c r="C178" t="s">
        <v>234</v>
      </c>
      <c r="D178" t="s">
        <v>237</v>
      </c>
      <c r="E178" s="1">
        <v>11.263999999999999</v>
      </c>
      <c r="F178">
        <v>4</v>
      </c>
      <c r="G178" s="3">
        <v>0.2</v>
      </c>
      <c r="H178" s="2">
        <v>3.8016000000000001</v>
      </c>
    </row>
    <row r="179" spans="1:8" x14ac:dyDescent="0.2">
      <c r="A179" t="s">
        <v>166</v>
      </c>
      <c r="B179" t="s">
        <v>230</v>
      </c>
      <c r="C179" t="s">
        <v>236</v>
      </c>
      <c r="D179" t="s">
        <v>250</v>
      </c>
      <c r="E179" s="1">
        <v>2549.9850000000001</v>
      </c>
      <c r="F179">
        <v>5</v>
      </c>
      <c r="G179" s="3">
        <v>0.7</v>
      </c>
      <c r="H179" s="2">
        <v>-3399.98</v>
      </c>
    </row>
    <row r="180" spans="1:8" x14ac:dyDescent="0.2">
      <c r="A180" t="s">
        <v>167</v>
      </c>
      <c r="B180" t="s">
        <v>231</v>
      </c>
      <c r="C180" t="s">
        <v>235</v>
      </c>
      <c r="D180" t="s">
        <v>244</v>
      </c>
      <c r="E180" s="1">
        <v>796.42499999999995</v>
      </c>
      <c r="F180">
        <v>7</v>
      </c>
      <c r="G180" s="3">
        <v>0.5</v>
      </c>
      <c r="H180" s="2">
        <v>-525.64049999999997</v>
      </c>
    </row>
    <row r="181" spans="1:8" x14ac:dyDescent="0.2">
      <c r="A181" t="s">
        <v>168</v>
      </c>
      <c r="B181" t="s">
        <v>233</v>
      </c>
      <c r="C181" t="s">
        <v>235</v>
      </c>
      <c r="D181" t="s">
        <v>238</v>
      </c>
      <c r="E181" s="1">
        <v>26.8</v>
      </c>
      <c r="F181">
        <v>2</v>
      </c>
      <c r="G181" s="3">
        <v>0</v>
      </c>
      <c r="H181" s="2">
        <v>12.864000000000001</v>
      </c>
    </row>
    <row r="182" spans="1:8" x14ac:dyDescent="0.2">
      <c r="A182" t="s">
        <v>169</v>
      </c>
      <c r="B182" t="s">
        <v>231</v>
      </c>
      <c r="C182" t="s">
        <v>235</v>
      </c>
      <c r="D182" t="s">
        <v>241</v>
      </c>
      <c r="E182" s="1">
        <v>687.4</v>
      </c>
      <c r="F182">
        <v>5</v>
      </c>
      <c r="G182" s="3">
        <v>0</v>
      </c>
      <c r="H182" s="2">
        <v>48.118000000000002</v>
      </c>
    </row>
    <row r="183" spans="1:8" x14ac:dyDescent="0.2">
      <c r="A183" t="s">
        <v>170</v>
      </c>
      <c r="B183" t="s">
        <v>232</v>
      </c>
      <c r="C183" t="s">
        <v>234</v>
      </c>
      <c r="D183" t="s">
        <v>249</v>
      </c>
      <c r="E183" s="1">
        <v>4.6079999999999997</v>
      </c>
      <c r="F183">
        <v>2</v>
      </c>
      <c r="G183" s="3">
        <v>0.2</v>
      </c>
      <c r="H183" s="2">
        <v>1.6704000000000001</v>
      </c>
    </row>
    <row r="184" spans="1:8" x14ac:dyDescent="0.2">
      <c r="A184" t="s">
        <v>171</v>
      </c>
      <c r="B184" t="s">
        <v>233</v>
      </c>
      <c r="C184" t="s">
        <v>234</v>
      </c>
      <c r="D184" t="s">
        <v>243</v>
      </c>
      <c r="E184" s="1">
        <v>8.016</v>
      </c>
      <c r="F184">
        <v>3</v>
      </c>
      <c r="G184" s="3">
        <v>0.2</v>
      </c>
      <c r="H184" s="2">
        <v>1.002</v>
      </c>
    </row>
    <row r="185" spans="1:8" x14ac:dyDescent="0.2">
      <c r="A185" t="s">
        <v>172</v>
      </c>
      <c r="B185" t="s">
        <v>233</v>
      </c>
      <c r="C185" t="s">
        <v>235</v>
      </c>
      <c r="D185" t="s">
        <v>238</v>
      </c>
      <c r="E185" s="1">
        <v>60.671999999999997</v>
      </c>
      <c r="F185">
        <v>6</v>
      </c>
      <c r="G185" s="3">
        <v>0.2</v>
      </c>
      <c r="H185" s="2">
        <v>12.892799999999999</v>
      </c>
    </row>
    <row r="186" spans="1:8" x14ac:dyDescent="0.2">
      <c r="A186" t="s">
        <v>173</v>
      </c>
      <c r="B186" t="s">
        <v>231</v>
      </c>
      <c r="C186" t="s">
        <v>234</v>
      </c>
      <c r="D186" t="s">
        <v>247</v>
      </c>
      <c r="E186" s="1">
        <v>83.9</v>
      </c>
      <c r="F186">
        <v>10</v>
      </c>
      <c r="G186" s="3">
        <v>0</v>
      </c>
      <c r="H186" s="2">
        <v>20.975000000000001</v>
      </c>
    </row>
    <row r="187" spans="1:8" x14ac:dyDescent="0.2">
      <c r="A187" t="s">
        <v>132</v>
      </c>
      <c r="B187" t="s">
        <v>232</v>
      </c>
      <c r="C187" t="s">
        <v>234</v>
      </c>
      <c r="D187" t="s">
        <v>237</v>
      </c>
      <c r="E187" s="1">
        <v>232.96</v>
      </c>
      <c r="F187">
        <v>7</v>
      </c>
      <c r="G187" s="3">
        <v>0</v>
      </c>
      <c r="H187" s="2">
        <v>116.48</v>
      </c>
    </row>
    <row r="188" spans="1:8" x14ac:dyDescent="0.2">
      <c r="A188" t="s">
        <v>174</v>
      </c>
      <c r="B188" t="s">
        <v>230</v>
      </c>
      <c r="C188" t="s">
        <v>234</v>
      </c>
      <c r="D188" t="s">
        <v>242</v>
      </c>
      <c r="E188" s="1">
        <v>87.92</v>
      </c>
      <c r="F188">
        <v>4</v>
      </c>
      <c r="G188" s="3">
        <v>0</v>
      </c>
      <c r="H188" s="2">
        <v>0.87919999999999998</v>
      </c>
    </row>
    <row r="189" spans="1:8" x14ac:dyDescent="0.2">
      <c r="A189" t="s">
        <v>175</v>
      </c>
      <c r="B189" t="s">
        <v>230</v>
      </c>
      <c r="C189" t="s">
        <v>236</v>
      </c>
      <c r="D189" t="s">
        <v>245</v>
      </c>
      <c r="E189" s="1">
        <v>105.584</v>
      </c>
      <c r="F189">
        <v>2</v>
      </c>
      <c r="G189" s="3">
        <v>0.2</v>
      </c>
      <c r="H189" s="2">
        <v>9.2385999999999999</v>
      </c>
    </row>
    <row r="190" spans="1:8" x14ac:dyDescent="0.2">
      <c r="A190" t="s">
        <v>176</v>
      </c>
      <c r="B190" t="s">
        <v>230</v>
      </c>
      <c r="C190" t="s">
        <v>234</v>
      </c>
      <c r="D190" t="s">
        <v>249</v>
      </c>
      <c r="E190" s="1">
        <v>51.75</v>
      </c>
      <c r="F190">
        <v>5</v>
      </c>
      <c r="G190" s="3">
        <v>0</v>
      </c>
      <c r="H190" s="2">
        <v>24.84</v>
      </c>
    </row>
    <row r="191" spans="1:8" x14ac:dyDescent="0.2">
      <c r="A191" t="s">
        <v>177</v>
      </c>
      <c r="B191" t="s">
        <v>230</v>
      </c>
      <c r="C191" t="s">
        <v>236</v>
      </c>
      <c r="D191" t="s">
        <v>250</v>
      </c>
      <c r="E191" s="1">
        <v>599.98500000000001</v>
      </c>
      <c r="F191">
        <v>5</v>
      </c>
      <c r="G191" s="3">
        <v>0.7</v>
      </c>
      <c r="H191" s="2">
        <v>-479.988</v>
      </c>
    </row>
    <row r="192" spans="1:8" x14ac:dyDescent="0.2">
      <c r="A192" t="s">
        <v>178</v>
      </c>
      <c r="B192" t="s">
        <v>233</v>
      </c>
      <c r="C192" t="s">
        <v>236</v>
      </c>
      <c r="D192" t="s">
        <v>245</v>
      </c>
      <c r="E192" s="1">
        <v>52.99</v>
      </c>
      <c r="F192">
        <v>1</v>
      </c>
      <c r="G192" s="3">
        <v>0</v>
      </c>
      <c r="H192" s="2">
        <v>0.52990000000000004</v>
      </c>
    </row>
    <row r="193" spans="1:8" x14ac:dyDescent="0.2">
      <c r="A193" t="s">
        <v>179</v>
      </c>
      <c r="B193" t="s">
        <v>232</v>
      </c>
      <c r="C193" t="s">
        <v>235</v>
      </c>
      <c r="D193" t="s">
        <v>238</v>
      </c>
      <c r="E193" s="1">
        <v>51.94</v>
      </c>
      <c r="F193">
        <v>1</v>
      </c>
      <c r="G193" s="3">
        <v>0</v>
      </c>
      <c r="H193" s="2">
        <v>21.295400000000001</v>
      </c>
    </row>
    <row r="194" spans="1:8" x14ac:dyDescent="0.2">
      <c r="A194" t="s">
        <v>180</v>
      </c>
      <c r="B194" t="s">
        <v>232</v>
      </c>
      <c r="C194" t="s">
        <v>235</v>
      </c>
      <c r="D194" t="s">
        <v>238</v>
      </c>
      <c r="E194" s="1">
        <v>13.128</v>
      </c>
      <c r="F194">
        <v>3</v>
      </c>
      <c r="G194" s="3">
        <v>0.2</v>
      </c>
      <c r="H194" s="2">
        <v>3.7743000000000002</v>
      </c>
    </row>
    <row r="195" spans="1:8" x14ac:dyDescent="0.2">
      <c r="A195" t="s">
        <v>181</v>
      </c>
      <c r="B195" t="s">
        <v>230</v>
      </c>
      <c r="C195" t="s">
        <v>234</v>
      </c>
      <c r="D195" t="s">
        <v>237</v>
      </c>
      <c r="E195" s="1">
        <v>153.55199999999999</v>
      </c>
      <c r="F195">
        <v>3</v>
      </c>
      <c r="G195" s="3">
        <v>0.2</v>
      </c>
      <c r="H195" s="2">
        <v>51.823799999999999</v>
      </c>
    </row>
    <row r="196" spans="1:8" x14ac:dyDescent="0.2">
      <c r="A196" t="s">
        <v>182</v>
      </c>
      <c r="B196" t="s">
        <v>230</v>
      </c>
      <c r="C196" t="s">
        <v>234</v>
      </c>
      <c r="D196" t="s">
        <v>248</v>
      </c>
      <c r="E196" s="1">
        <v>19.399999999999999</v>
      </c>
      <c r="F196">
        <v>5</v>
      </c>
      <c r="G196" s="3">
        <v>0</v>
      </c>
      <c r="H196" s="2">
        <v>9.3119999999999994</v>
      </c>
    </row>
    <row r="197" spans="1:8" x14ac:dyDescent="0.2">
      <c r="A197" t="s">
        <v>183</v>
      </c>
      <c r="B197" t="s">
        <v>233</v>
      </c>
      <c r="C197" t="s">
        <v>235</v>
      </c>
      <c r="D197" t="s">
        <v>239</v>
      </c>
      <c r="E197" s="1">
        <v>422.05799999999999</v>
      </c>
      <c r="F197">
        <v>3</v>
      </c>
      <c r="G197" s="3">
        <v>0.3</v>
      </c>
      <c r="H197" s="2">
        <v>-18.088200000000001</v>
      </c>
    </row>
    <row r="198" spans="1:8" x14ac:dyDescent="0.2">
      <c r="A198" t="s">
        <v>26</v>
      </c>
      <c r="B198" t="s">
        <v>230</v>
      </c>
      <c r="C198" t="s">
        <v>236</v>
      </c>
      <c r="D198" t="s">
        <v>245</v>
      </c>
      <c r="E198" s="1">
        <v>67.040000000000006</v>
      </c>
      <c r="F198">
        <v>4</v>
      </c>
      <c r="G198" s="3">
        <v>0.2</v>
      </c>
      <c r="H198" s="2">
        <v>6.7039999999999997</v>
      </c>
    </row>
    <row r="199" spans="1:8" x14ac:dyDescent="0.2">
      <c r="A199" t="s">
        <v>40</v>
      </c>
      <c r="B199" t="s">
        <v>233</v>
      </c>
      <c r="C199" t="s">
        <v>234</v>
      </c>
      <c r="D199" t="s">
        <v>242</v>
      </c>
      <c r="E199" s="1">
        <v>45.4</v>
      </c>
      <c r="F199">
        <v>4</v>
      </c>
      <c r="G199" s="3">
        <v>0</v>
      </c>
      <c r="H199" s="2">
        <v>12.712</v>
      </c>
    </row>
    <row r="200" spans="1:8" x14ac:dyDescent="0.2">
      <c r="A200" t="s">
        <v>184</v>
      </c>
      <c r="B200" t="s">
        <v>231</v>
      </c>
      <c r="C200" t="s">
        <v>234</v>
      </c>
      <c r="D200" t="s">
        <v>237</v>
      </c>
      <c r="E200" s="1">
        <v>735.98</v>
      </c>
      <c r="F200">
        <v>2</v>
      </c>
      <c r="G200" s="3">
        <v>0</v>
      </c>
      <c r="H200" s="2">
        <v>331.19099999999997</v>
      </c>
    </row>
    <row r="201" spans="1:8" x14ac:dyDescent="0.2">
      <c r="A201" t="s">
        <v>185</v>
      </c>
      <c r="B201" t="s">
        <v>233</v>
      </c>
      <c r="C201" t="s">
        <v>236</v>
      </c>
      <c r="D201" t="s">
        <v>252</v>
      </c>
      <c r="E201" s="1">
        <v>8399.9760000000006</v>
      </c>
      <c r="F201">
        <v>4</v>
      </c>
      <c r="G201" s="3">
        <v>0.4</v>
      </c>
      <c r="H201" s="2">
        <v>1119.9967999999999</v>
      </c>
    </row>
    <row r="202" spans="1:8" x14ac:dyDescent="0.2">
      <c r="A202" t="s">
        <v>186</v>
      </c>
      <c r="B202" t="s">
        <v>233</v>
      </c>
      <c r="C202" t="s">
        <v>236</v>
      </c>
      <c r="D202" t="s">
        <v>245</v>
      </c>
      <c r="E202" s="1">
        <v>158.376</v>
      </c>
      <c r="F202">
        <v>4</v>
      </c>
      <c r="G202" s="3">
        <v>0.4</v>
      </c>
      <c r="H202" s="2">
        <v>-36.9544</v>
      </c>
    </row>
    <row r="203" spans="1:8" x14ac:dyDescent="0.2">
      <c r="A203" t="s">
        <v>187</v>
      </c>
      <c r="B203" t="s">
        <v>233</v>
      </c>
      <c r="C203" t="s">
        <v>236</v>
      </c>
      <c r="D203" t="s">
        <v>246</v>
      </c>
      <c r="E203" s="1">
        <v>159.97999999999999</v>
      </c>
      <c r="F203">
        <v>2</v>
      </c>
      <c r="G203" s="3">
        <v>0</v>
      </c>
      <c r="H203" s="2">
        <v>57.592799999999997</v>
      </c>
    </row>
    <row r="204" spans="1:8" x14ac:dyDescent="0.2">
      <c r="A204" t="s">
        <v>188</v>
      </c>
      <c r="B204" t="s">
        <v>230</v>
      </c>
      <c r="C204" t="s">
        <v>234</v>
      </c>
      <c r="D204" t="s">
        <v>248</v>
      </c>
      <c r="E204" s="1">
        <v>271.44</v>
      </c>
      <c r="F204">
        <v>3</v>
      </c>
      <c r="G204" s="3">
        <v>0</v>
      </c>
      <c r="H204" s="2">
        <v>122.148</v>
      </c>
    </row>
    <row r="205" spans="1:8" x14ac:dyDescent="0.2">
      <c r="A205" t="s">
        <v>166</v>
      </c>
      <c r="B205" t="s">
        <v>230</v>
      </c>
      <c r="C205" t="s">
        <v>234</v>
      </c>
      <c r="D205" t="s">
        <v>237</v>
      </c>
      <c r="E205" s="1">
        <v>8.9640000000000004</v>
      </c>
      <c r="F205">
        <v>6</v>
      </c>
      <c r="G205" s="3">
        <v>0.7</v>
      </c>
      <c r="H205" s="2">
        <v>-6.5735999999999999</v>
      </c>
    </row>
    <row r="206" spans="1:8" x14ac:dyDescent="0.2">
      <c r="A206" t="s">
        <v>189</v>
      </c>
      <c r="B206" t="s">
        <v>231</v>
      </c>
      <c r="C206" t="s">
        <v>235</v>
      </c>
      <c r="D206" t="s">
        <v>239</v>
      </c>
      <c r="E206" s="1">
        <v>797.94399999999996</v>
      </c>
      <c r="F206">
        <v>4</v>
      </c>
      <c r="G206" s="3">
        <v>0.3</v>
      </c>
      <c r="H206" s="2">
        <v>-56.996000000000002</v>
      </c>
    </row>
    <row r="207" spans="1:8" x14ac:dyDescent="0.2">
      <c r="A207" t="s">
        <v>190</v>
      </c>
      <c r="B207" t="s">
        <v>233</v>
      </c>
      <c r="C207" t="s">
        <v>234</v>
      </c>
      <c r="D207" t="s">
        <v>242</v>
      </c>
      <c r="E207" s="1">
        <v>362.92</v>
      </c>
      <c r="F207">
        <v>2</v>
      </c>
      <c r="G207" s="3">
        <v>0</v>
      </c>
      <c r="H207" s="2">
        <v>105.24679999999999</v>
      </c>
    </row>
    <row r="208" spans="1:8" x14ac:dyDescent="0.2">
      <c r="A208" t="s">
        <v>191</v>
      </c>
      <c r="B208" t="s">
        <v>232</v>
      </c>
      <c r="C208" t="s">
        <v>234</v>
      </c>
      <c r="D208" t="s">
        <v>240</v>
      </c>
      <c r="E208" s="1">
        <v>10.272</v>
      </c>
      <c r="F208">
        <v>3</v>
      </c>
      <c r="G208" s="3">
        <v>0.2</v>
      </c>
      <c r="H208" s="2">
        <v>3.21</v>
      </c>
    </row>
    <row r="209" spans="1:8" x14ac:dyDescent="0.2">
      <c r="A209" t="s">
        <v>192</v>
      </c>
      <c r="B209" t="s">
        <v>233</v>
      </c>
      <c r="C209" t="s">
        <v>235</v>
      </c>
      <c r="D209" t="s">
        <v>238</v>
      </c>
      <c r="E209" s="1">
        <v>35.92</v>
      </c>
      <c r="F209">
        <v>4</v>
      </c>
      <c r="G209" s="3">
        <v>0</v>
      </c>
      <c r="H209" s="2">
        <v>15.086399999999999</v>
      </c>
    </row>
    <row r="210" spans="1:8" x14ac:dyDescent="0.2">
      <c r="A210" t="s">
        <v>91</v>
      </c>
      <c r="B210" t="s">
        <v>230</v>
      </c>
      <c r="C210" t="s">
        <v>235</v>
      </c>
      <c r="D210" t="s">
        <v>239</v>
      </c>
      <c r="E210" s="1">
        <v>650.35199999999998</v>
      </c>
      <c r="F210">
        <v>3</v>
      </c>
      <c r="G210" s="3">
        <v>0.2</v>
      </c>
      <c r="H210" s="2">
        <v>-97.552800000000005</v>
      </c>
    </row>
    <row r="211" spans="1:8" x14ac:dyDescent="0.2">
      <c r="A211" t="s">
        <v>193</v>
      </c>
      <c r="B211" t="s">
        <v>231</v>
      </c>
      <c r="C211" t="s">
        <v>234</v>
      </c>
      <c r="D211" t="s">
        <v>249</v>
      </c>
      <c r="E211" s="1">
        <v>19.824000000000002</v>
      </c>
      <c r="F211">
        <v>6</v>
      </c>
      <c r="G211" s="3">
        <v>0.2</v>
      </c>
      <c r="H211" s="2">
        <v>6.4428000000000001</v>
      </c>
    </row>
    <row r="212" spans="1:8" x14ac:dyDescent="0.2">
      <c r="A212" t="s">
        <v>194</v>
      </c>
      <c r="B212" t="s">
        <v>232</v>
      </c>
      <c r="C212" t="s">
        <v>234</v>
      </c>
      <c r="D212" t="s">
        <v>249</v>
      </c>
      <c r="E212" s="1">
        <v>20.7</v>
      </c>
      <c r="F212">
        <v>2</v>
      </c>
      <c r="G212" s="3">
        <v>0</v>
      </c>
      <c r="H212" s="2">
        <v>9.9359999999999999</v>
      </c>
    </row>
    <row r="213" spans="1:8" x14ac:dyDescent="0.2">
      <c r="A213" t="s">
        <v>195</v>
      </c>
      <c r="B213" t="s">
        <v>230</v>
      </c>
      <c r="C213" t="s">
        <v>234</v>
      </c>
      <c r="D213" t="s">
        <v>249</v>
      </c>
      <c r="E213" s="1">
        <v>22.05</v>
      </c>
      <c r="F213">
        <v>7</v>
      </c>
      <c r="G213" s="3">
        <v>0</v>
      </c>
      <c r="H213" s="2">
        <v>10.584</v>
      </c>
    </row>
    <row r="214" spans="1:8" x14ac:dyDescent="0.2">
      <c r="A214" t="s">
        <v>196</v>
      </c>
      <c r="B214" t="s">
        <v>231</v>
      </c>
      <c r="C214" t="s">
        <v>235</v>
      </c>
      <c r="D214" t="s">
        <v>238</v>
      </c>
      <c r="E214" s="1">
        <v>21.204000000000001</v>
      </c>
      <c r="F214">
        <v>3</v>
      </c>
      <c r="G214" s="3">
        <v>0.6</v>
      </c>
      <c r="H214" s="2">
        <v>-11.6622</v>
      </c>
    </row>
    <row r="215" spans="1:8" x14ac:dyDescent="0.2">
      <c r="A215" t="s">
        <v>197</v>
      </c>
      <c r="B215" t="s">
        <v>232</v>
      </c>
      <c r="C215" t="s">
        <v>236</v>
      </c>
      <c r="D215" t="s">
        <v>246</v>
      </c>
      <c r="E215" s="1">
        <v>53.7</v>
      </c>
      <c r="F215">
        <v>6</v>
      </c>
      <c r="G215" s="3">
        <v>0</v>
      </c>
      <c r="H215" s="2">
        <v>10.202999999999999</v>
      </c>
    </row>
    <row r="216" spans="1:8" x14ac:dyDescent="0.2">
      <c r="A216" t="s">
        <v>198</v>
      </c>
      <c r="B216" t="s">
        <v>231</v>
      </c>
      <c r="C216" t="s">
        <v>234</v>
      </c>
      <c r="D216" t="s">
        <v>242</v>
      </c>
      <c r="E216" s="1">
        <v>19.86</v>
      </c>
      <c r="F216">
        <v>2</v>
      </c>
      <c r="G216" s="3">
        <v>0</v>
      </c>
      <c r="H216" s="2">
        <v>5.7594000000000003</v>
      </c>
    </row>
    <row r="217" spans="1:8" x14ac:dyDescent="0.2">
      <c r="A217" t="s">
        <v>199</v>
      </c>
      <c r="B217" t="s">
        <v>233</v>
      </c>
      <c r="C217" t="s">
        <v>234</v>
      </c>
      <c r="D217" t="s">
        <v>242</v>
      </c>
      <c r="E217" s="1">
        <v>29.9</v>
      </c>
      <c r="F217">
        <v>5</v>
      </c>
      <c r="G217" s="3">
        <v>0</v>
      </c>
      <c r="H217" s="2">
        <v>5.0830000000000002</v>
      </c>
    </row>
    <row r="218" spans="1:8" x14ac:dyDescent="0.2">
      <c r="A218" t="s">
        <v>200</v>
      </c>
      <c r="B218" t="s">
        <v>232</v>
      </c>
      <c r="C218" t="s">
        <v>234</v>
      </c>
      <c r="D218" t="s">
        <v>242</v>
      </c>
      <c r="E218" s="1">
        <v>24.672000000000001</v>
      </c>
      <c r="F218">
        <v>2</v>
      </c>
      <c r="G218" s="3">
        <v>0.2</v>
      </c>
      <c r="H218" s="2">
        <v>2.1587999999999998</v>
      </c>
    </row>
    <row r="219" spans="1:8" x14ac:dyDescent="0.2">
      <c r="A219" t="s">
        <v>191</v>
      </c>
      <c r="B219" t="s">
        <v>232</v>
      </c>
      <c r="C219" t="s">
        <v>234</v>
      </c>
      <c r="D219" t="s">
        <v>237</v>
      </c>
      <c r="E219" s="1">
        <v>11.231999999999999</v>
      </c>
      <c r="F219">
        <v>8</v>
      </c>
      <c r="G219" s="3">
        <v>0.7</v>
      </c>
      <c r="H219" s="2">
        <v>-8.2368000000000006</v>
      </c>
    </row>
    <row r="220" spans="1:8" x14ac:dyDescent="0.2">
      <c r="A220" t="s">
        <v>201</v>
      </c>
      <c r="B220" t="s">
        <v>233</v>
      </c>
      <c r="C220" t="s">
        <v>235</v>
      </c>
      <c r="D220" t="s">
        <v>244</v>
      </c>
      <c r="E220" s="1">
        <v>385.68599999999998</v>
      </c>
      <c r="F220">
        <v>1</v>
      </c>
      <c r="G220" s="3">
        <v>0.3</v>
      </c>
      <c r="H220" s="2">
        <v>-60.607799999999997</v>
      </c>
    </row>
    <row r="221" spans="1:8" x14ac:dyDescent="0.2">
      <c r="A221" t="s">
        <v>166</v>
      </c>
      <c r="B221" t="s">
        <v>230</v>
      </c>
      <c r="C221" t="s">
        <v>234</v>
      </c>
      <c r="D221" t="s">
        <v>249</v>
      </c>
      <c r="E221" s="1">
        <v>7.38</v>
      </c>
      <c r="F221">
        <v>2</v>
      </c>
      <c r="G221" s="3">
        <v>0</v>
      </c>
      <c r="H221" s="2">
        <v>3.4685999999999999</v>
      </c>
    </row>
    <row r="222" spans="1:8" x14ac:dyDescent="0.2">
      <c r="A222" t="s">
        <v>48</v>
      </c>
      <c r="B222" t="s">
        <v>233</v>
      </c>
      <c r="C222" t="s">
        <v>236</v>
      </c>
      <c r="D222" t="s">
        <v>245</v>
      </c>
      <c r="E222" s="1">
        <v>69.930000000000007</v>
      </c>
      <c r="F222">
        <v>7</v>
      </c>
      <c r="G222" s="3">
        <v>0</v>
      </c>
      <c r="H222" s="2">
        <v>32.1678</v>
      </c>
    </row>
    <row r="223" spans="1:8" x14ac:dyDescent="0.2">
      <c r="A223" t="s">
        <v>202</v>
      </c>
      <c r="B223" t="s">
        <v>233</v>
      </c>
      <c r="C223" t="s">
        <v>234</v>
      </c>
      <c r="D223" t="s">
        <v>243</v>
      </c>
      <c r="E223" s="1">
        <v>15.76</v>
      </c>
      <c r="F223">
        <v>2</v>
      </c>
      <c r="G223" s="3">
        <v>0.2</v>
      </c>
      <c r="H223" s="2">
        <v>3.5459999999999998</v>
      </c>
    </row>
    <row r="224" spans="1:8" x14ac:dyDescent="0.2">
      <c r="A224" t="s">
        <v>203</v>
      </c>
      <c r="B224" t="s">
        <v>233</v>
      </c>
      <c r="C224" t="s">
        <v>235</v>
      </c>
      <c r="D224" t="s">
        <v>239</v>
      </c>
      <c r="E224" s="1">
        <v>191.64599999999999</v>
      </c>
      <c r="F224">
        <v>3</v>
      </c>
      <c r="G224" s="3">
        <v>0.1</v>
      </c>
      <c r="H224" s="2">
        <v>31.940999999999999</v>
      </c>
    </row>
    <row r="225" spans="1:8" x14ac:dyDescent="0.2">
      <c r="A225" t="s">
        <v>204</v>
      </c>
      <c r="B225" t="s">
        <v>231</v>
      </c>
      <c r="C225" t="s">
        <v>234</v>
      </c>
      <c r="D225" t="s">
        <v>247</v>
      </c>
      <c r="E225" s="1">
        <v>490.32</v>
      </c>
      <c r="F225">
        <v>9</v>
      </c>
      <c r="G225" s="3">
        <v>0</v>
      </c>
      <c r="H225" s="2">
        <v>137.28960000000001</v>
      </c>
    </row>
    <row r="226" spans="1:8" x14ac:dyDescent="0.2">
      <c r="A226" t="s">
        <v>198</v>
      </c>
      <c r="B226" t="s">
        <v>231</v>
      </c>
      <c r="C226" t="s">
        <v>234</v>
      </c>
      <c r="D226" t="s">
        <v>237</v>
      </c>
      <c r="E226" s="1">
        <v>2.92</v>
      </c>
      <c r="F226">
        <v>2</v>
      </c>
      <c r="G226" s="3">
        <v>0.8</v>
      </c>
      <c r="H226" s="2">
        <v>-4.8179999999999996</v>
      </c>
    </row>
    <row r="227" spans="1:8" x14ac:dyDescent="0.2">
      <c r="A227" t="s">
        <v>205</v>
      </c>
      <c r="B227" t="s">
        <v>231</v>
      </c>
      <c r="C227" t="s">
        <v>234</v>
      </c>
      <c r="D227" t="s">
        <v>247</v>
      </c>
      <c r="E227" s="1">
        <v>65.52</v>
      </c>
      <c r="F227">
        <v>5</v>
      </c>
      <c r="G227" s="3">
        <v>0.1</v>
      </c>
      <c r="H227" s="2">
        <v>12.375999999999999</v>
      </c>
    </row>
    <row r="228" spans="1:8" x14ac:dyDescent="0.2">
      <c r="A228" t="s">
        <v>206</v>
      </c>
      <c r="B228" t="s">
        <v>230</v>
      </c>
      <c r="C228" t="s">
        <v>234</v>
      </c>
      <c r="D228" t="s">
        <v>247</v>
      </c>
      <c r="E228" s="1">
        <v>7.78</v>
      </c>
      <c r="F228">
        <v>2</v>
      </c>
      <c r="G228" s="3">
        <v>0</v>
      </c>
      <c r="H228" s="2">
        <v>2.0228000000000002</v>
      </c>
    </row>
    <row r="229" spans="1:8" x14ac:dyDescent="0.2">
      <c r="A229" t="s">
        <v>180</v>
      </c>
      <c r="B229" t="s">
        <v>233</v>
      </c>
      <c r="C229" t="s">
        <v>236</v>
      </c>
      <c r="D229" t="s">
        <v>245</v>
      </c>
      <c r="E229" s="1">
        <v>287.97000000000003</v>
      </c>
      <c r="F229">
        <v>3</v>
      </c>
      <c r="G229" s="3">
        <v>0</v>
      </c>
      <c r="H229" s="2">
        <v>80.631600000000006</v>
      </c>
    </row>
    <row r="230" spans="1:8" x14ac:dyDescent="0.2">
      <c r="A230" t="s">
        <v>207</v>
      </c>
      <c r="B230" t="s">
        <v>233</v>
      </c>
      <c r="C230" t="s">
        <v>234</v>
      </c>
      <c r="D230" t="s">
        <v>242</v>
      </c>
      <c r="E230" s="1">
        <v>272.94</v>
      </c>
      <c r="F230">
        <v>3</v>
      </c>
      <c r="G230" s="3">
        <v>0</v>
      </c>
      <c r="H230" s="2">
        <v>0</v>
      </c>
    </row>
    <row r="231" spans="1:8" x14ac:dyDescent="0.2">
      <c r="A231" t="s">
        <v>208</v>
      </c>
      <c r="B231" t="s">
        <v>231</v>
      </c>
      <c r="C231" t="s">
        <v>234</v>
      </c>
      <c r="D231" t="s">
        <v>247</v>
      </c>
      <c r="E231" s="1">
        <v>5.4320000000000004</v>
      </c>
      <c r="F231">
        <v>2</v>
      </c>
      <c r="G231" s="3">
        <v>0.8</v>
      </c>
      <c r="H231" s="2">
        <v>-13.58</v>
      </c>
    </row>
    <row r="232" spans="1:8" x14ac:dyDescent="0.2">
      <c r="A232" t="s">
        <v>209</v>
      </c>
      <c r="B232" t="s">
        <v>231</v>
      </c>
      <c r="C232" t="s">
        <v>236</v>
      </c>
      <c r="D232" t="s">
        <v>245</v>
      </c>
      <c r="E232" s="1">
        <v>10.95</v>
      </c>
      <c r="F232">
        <v>1</v>
      </c>
      <c r="G232" s="3">
        <v>0</v>
      </c>
      <c r="H232" s="2">
        <v>0.438</v>
      </c>
    </row>
    <row r="233" spans="1:8" x14ac:dyDescent="0.2">
      <c r="A233" t="s">
        <v>210</v>
      </c>
      <c r="B233" t="s">
        <v>232</v>
      </c>
      <c r="C233" t="s">
        <v>236</v>
      </c>
      <c r="D233" t="s">
        <v>245</v>
      </c>
      <c r="E233" s="1">
        <v>206.1</v>
      </c>
      <c r="F233">
        <v>5</v>
      </c>
      <c r="G233" s="3">
        <v>0</v>
      </c>
      <c r="H233" s="2">
        <v>55.646999999999998</v>
      </c>
    </row>
    <row r="234" spans="1:8" x14ac:dyDescent="0.2">
      <c r="A234" t="s">
        <v>211</v>
      </c>
      <c r="B234" t="s">
        <v>230</v>
      </c>
      <c r="C234" t="s">
        <v>235</v>
      </c>
      <c r="D234" t="s">
        <v>244</v>
      </c>
      <c r="E234" s="1">
        <v>275.49</v>
      </c>
      <c r="F234">
        <v>1</v>
      </c>
      <c r="G234" s="3">
        <v>0.5</v>
      </c>
      <c r="H234" s="2">
        <v>-170.8038</v>
      </c>
    </row>
    <row r="235" spans="1:8" x14ac:dyDescent="0.2">
      <c r="A235" t="s">
        <v>212</v>
      </c>
      <c r="B235" t="s">
        <v>230</v>
      </c>
      <c r="C235" t="s">
        <v>234</v>
      </c>
      <c r="D235" t="s">
        <v>243</v>
      </c>
      <c r="E235" s="1">
        <v>45.98</v>
      </c>
      <c r="F235">
        <v>2</v>
      </c>
      <c r="G235" s="3">
        <v>0</v>
      </c>
      <c r="H235" s="2">
        <v>12.8744</v>
      </c>
    </row>
    <row r="236" spans="1:8" x14ac:dyDescent="0.2">
      <c r="A236" t="s">
        <v>213</v>
      </c>
      <c r="B236" t="s">
        <v>230</v>
      </c>
      <c r="C236" t="s">
        <v>234</v>
      </c>
      <c r="D236" t="s">
        <v>249</v>
      </c>
      <c r="E236" s="1">
        <v>58.48</v>
      </c>
      <c r="F236">
        <v>8</v>
      </c>
      <c r="G236" s="3">
        <v>0</v>
      </c>
      <c r="H236" s="2">
        <v>27.485600000000002</v>
      </c>
    </row>
    <row r="237" spans="1:8" x14ac:dyDescent="0.2">
      <c r="A237" t="s">
        <v>52</v>
      </c>
      <c r="B237" t="s">
        <v>233</v>
      </c>
      <c r="C237" t="s">
        <v>236</v>
      </c>
      <c r="D237" t="s">
        <v>246</v>
      </c>
      <c r="E237" s="1">
        <v>139.96</v>
      </c>
      <c r="F237">
        <v>5</v>
      </c>
      <c r="G237" s="3">
        <v>0.2</v>
      </c>
      <c r="H237" s="2">
        <v>-1.7495000000000001</v>
      </c>
    </row>
    <row r="238" spans="1:8" x14ac:dyDescent="0.2">
      <c r="A238" t="s">
        <v>214</v>
      </c>
      <c r="B238" t="s">
        <v>232</v>
      </c>
      <c r="C238" t="s">
        <v>234</v>
      </c>
      <c r="D238" t="s">
        <v>243</v>
      </c>
      <c r="E238" s="1">
        <v>185.88</v>
      </c>
      <c r="F238">
        <v>6</v>
      </c>
      <c r="G238" s="3">
        <v>0</v>
      </c>
      <c r="H238" s="2">
        <v>50.187600000000003</v>
      </c>
    </row>
    <row r="239" spans="1:8" x14ac:dyDescent="0.2">
      <c r="A239" t="s">
        <v>215</v>
      </c>
      <c r="B239" t="s">
        <v>233</v>
      </c>
      <c r="C239" t="s">
        <v>234</v>
      </c>
      <c r="D239" t="s">
        <v>243</v>
      </c>
      <c r="E239" s="1">
        <v>23.65</v>
      </c>
      <c r="F239">
        <v>1</v>
      </c>
      <c r="G239" s="3">
        <v>0</v>
      </c>
      <c r="H239" s="2">
        <v>6.149</v>
      </c>
    </row>
    <row r="240" spans="1:8" x14ac:dyDescent="0.2">
      <c r="A240" t="s">
        <v>15</v>
      </c>
      <c r="B240" t="s">
        <v>232</v>
      </c>
      <c r="C240" t="s">
        <v>236</v>
      </c>
      <c r="D240" t="s">
        <v>246</v>
      </c>
      <c r="E240" s="1">
        <v>35.167999999999999</v>
      </c>
      <c r="F240">
        <v>4</v>
      </c>
      <c r="G240" s="3">
        <v>0.2</v>
      </c>
      <c r="H240" s="2">
        <v>8.3523999999999994</v>
      </c>
    </row>
    <row r="241" spans="1:8" x14ac:dyDescent="0.2">
      <c r="A241" t="s">
        <v>216</v>
      </c>
      <c r="B241" t="s">
        <v>232</v>
      </c>
      <c r="C241" t="s">
        <v>234</v>
      </c>
      <c r="D241" t="s">
        <v>248</v>
      </c>
      <c r="E241" s="1">
        <v>311.14999999999998</v>
      </c>
      <c r="F241">
        <v>5</v>
      </c>
      <c r="G241" s="3">
        <v>0</v>
      </c>
      <c r="H241" s="2">
        <v>146.2405</v>
      </c>
    </row>
    <row r="242" spans="1:8" x14ac:dyDescent="0.2">
      <c r="A242" t="s">
        <v>217</v>
      </c>
      <c r="B242" t="s">
        <v>230</v>
      </c>
      <c r="C242" t="s">
        <v>236</v>
      </c>
      <c r="D242" t="s">
        <v>246</v>
      </c>
      <c r="E242" s="1">
        <v>58.58</v>
      </c>
      <c r="F242">
        <v>2</v>
      </c>
      <c r="G242" s="3">
        <v>0</v>
      </c>
      <c r="H242" s="2">
        <v>19.331399999999999</v>
      </c>
    </row>
    <row r="243" spans="1:8" x14ac:dyDescent="0.2">
      <c r="A243" t="s">
        <v>72</v>
      </c>
      <c r="B243" t="s">
        <v>232</v>
      </c>
      <c r="C243" t="s">
        <v>234</v>
      </c>
      <c r="D243" t="s">
        <v>251</v>
      </c>
      <c r="E243" s="1">
        <v>35.06</v>
      </c>
      <c r="F243">
        <v>2</v>
      </c>
      <c r="G243" s="3">
        <v>0</v>
      </c>
      <c r="H243" s="2">
        <v>10.518000000000001</v>
      </c>
    </row>
    <row r="244" spans="1:8" x14ac:dyDescent="0.2">
      <c r="A244" t="s">
        <v>218</v>
      </c>
      <c r="B244" t="s">
        <v>233</v>
      </c>
      <c r="C244" t="s">
        <v>234</v>
      </c>
      <c r="D244" t="s">
        <v>251</v>
      </c>
      <c r="E244" s="1">
        <v>102.3</v>
      </c>
      <c r="F244">
        <v>10</v>
      </c>
      <c r="G244" s="3">
        <v>0</v>
      </c>
      <c r="H244" s="2">
        <v>26.597999999999999</v>
      </c>
    </row>
    <row r="245" spans="1:8" x14ac:dyDescent="0.2">
      <c r="A245" t="s">
        <v>219</v>
      </c>
      <c r="B245" t="s">
        <v>232</v>
      </c>
      <c r="C245" t="s">
        <v>234</v>
      </c>
      <c r="D245" t="s">
        <v>240</v>
      </c>
      <c r="E245" s="1">
        <v>93.248000000000005</v>
      </c>
      <c r="F245">
        <v>4</v>
      </c>
      <c r="G245" s="3">
        <v>0.2</v>
      </c>
      <c r="H245" s="2">
        <v>31.4712</v>
      </c>
    </row>
    <row r="246" spans="1:8" x14ac:dyDescent="0.2">
      <c r="A246" t="s">
        <v>14</v>
      </c>
      <c r="B246" t="s">
        <v>230</v>
      </c>
      <c r="C246" t="s">
        <v>234</v>
      </c>
      <c r="D246" t="s">
        <v>240</v>
      </c>
      <c r="E246" s="1">
        <v>59.94</v>
      </c>
      <c r="F246">
        <v>3</v>
      </c>
      <c r="G246" s="3">
        <v>0</v>
      </c>
      <c r="H246" s="2">
        <v>28.171800000000001</v>
      </c>
    </row>
    <row r="247" spans="1:8" x14ac:dyDescent="0.2">
      <c r="A247" t="s">
        <v>220</v>
      </c>
      <c r="B247" t="s">
        <v>231</v>
      </c>
      <c r="C247" t="s">
        <v>234</v>
      </c>
      <c r="D247" t="s">
        <v>243</v>
      </c>
      <c r="E247" s="1">
        <v>31.744</v>
      </c>
      <c r="F247">
        <v>2</v>
      </c>
      <c r="G247" s="3">
        <v>0.2</v>
      </c>
      <c r="H247" s="2">
        <v>2.3807999999999998</v>
      </c>
    </row>
    <row r="248" spans="1:8" x14ac:dyDescent="0.2">
      <c r="A248" t="s">
        <v>221</v>
      </c>
      <c r="B248" t="s">
        <v>233</v>
      </c>
      <c r="C248" t="s">
        <v>234</v>
      </c>
      <c r="D248" t="s">
        <v>240</v>
      </c>
      <c r="E248" s="1">
        <v>45.36</v>
      </c>
      <c r="F248">
        <v>7</v>
      </c>
      <c r="G248" s="3">
        <v>0</v>
      </c>
      <c r="H248" s="2">
        <v>21.7728</v>
      </c>
    </row>
    <row r="249" spans="1:8" x14ac:dyDescent="0.2">
      <c r="A249" t="s">
        <v>222</v>
      </c>
      <c r="B249" t="s">
        <v>231</v>
      </c>
      <c r="C249" t="s">
        <v>235</v>
      </c>
      <c r="D249" t="s">
        <v>238</v>
      </c>
      <c r="E249" s="1">
        <v>8.5440000000000005</v>
      </c>
      <c r="F249">
        <v>2</v>
      </c>
      <c r="G249" s="3">
        <v>0.6</v>
      </c>
      <c r="H249" s="2">
        <v>-7.476</v>
      </c>
    </row>
    <row r="250" spans="1:8" x14ac:dyDescent="0.2">
      <c r="A250" t="s">
        <v>223</v>
      </c>
      <c r="B250" t="s">
        <v>232</v>
      </c>
      <c r="C250" t="s">
        <v>234</v>
      </c>
      <c r="D250" t="s">
        <v>247</v>
      </c>
      <c r="E250" s="1">
        <v>87.168000000000006</v>
      </c>
      <c r="F250">
        <v>2</v>
      </c>
      <c r="G250" s="3">
        <v>0.2</v>
      </c>
      <c r="H250" s="2">
        <v>8.7167999999999992</v>
      </c>
    </row>
    <row r="251" spans="1:8" x14ac:dyDescent="0.2">
      <c r="A251" t="s">
        <v>224</v>
      </c>
      <c r="B251" t="s">
        <v>231</v>
      </c>
      <c r="C251" t="s">
        <v>235</v>
      </c>
      <c r="D251" t="s">
        <v>239</v>
      </c>
      <c r="E251" s="1">
        <v>191.07900000000001</v>
      </c>
      <c r="F251">
        <v>3</v>
      </c>
      <c r="G251" s="3">
        <v>0.3</v>
      </c>
      <c r="H251" s="2">
        <v>-38.215800000000002</v>
      </c>
    </row>
    <row r="252" spans="1:8" x14ac:dyDescent="0.2">
      <c r="A252" t="s">
        <v>123</v>
      </c>
      <c r="B252" t="s">
        <v>231</v>
      </c>
      <c r="C252" t="s">
        <v>235</v>
      </c>
      <c r="D252" t="s">
        <v>244</v>
      </c>
      <c r="E252" s="1">
        <v>480.96</v>
      </c>
      <c r="F252">
        <v>3</v>
      </c>
      <c r="G252" s="3">
        <v>0.5</v>
      </c>
      <c r="H252" s="2">
        <v>-269.33760000000001</v>
      </c>
    </row>
    <row r="253" spans="1:8" x14ac:dyDescent="0.2">
      <c r="A253" t="s">
        <v>101</v>
      </c>
      <c r="B253" t="s">
        <v>232</v>
      </c>
      <c r="C253" t="s">
        <v>234</v>
      </c>
      <c r="D253" t="s">
        <v>248</v>
      </c>
      <c r="E253" s="1">
        <v>16.23</v>
      </c>
      <c r="F253">
        <v>3</v>
      </c>
      <c r="G253" s="3">
        <v>0</v>
      </c>
      <c r="H253" s="2">
        <v>7.9527000000000001</v>
      </c>
    </row>
    <row r="254" spans="1:8" x14ac:dyDescent="0.2">
      <c r="A254" t="s">
        <v>225</v>
      </c>
      <c r="B254" t="s">
        <v>233</v>
      </c>
      <c r="C254" t="s">
        <v>234</v>
      </c>
      <c r="D254" t="s">
        <v>237</v>
      </c>
      <c r="E254" s="1">
        <v>52.271999999999998</v>
      </c>
      <c r="F254">
        <v>11</v>
      </c>
      <c r="G254" s="3">
        <v>0.2</v>
      </c>
      <c r="H254" s="2">
        <v>17.6418</v>
      </c>
    </row>
    <row r="255" spans="1:8" x14ac:dyDescent="0.2">
      <c r="A255" t="s">
        <v>226</v>
      </c>
      <c r="B255" t="s">
        <v>232</v>
      </c>
      <c r="C255" t="s">
        <v>235</v>
      </c>
      <c r="D255" t="s">
        <v>244</v>
      </c>
      <c r="E255" s="1">
        <v>301.95999999999998</v>
      </c>
      <c r="F255">
        <v>2</v>
      </c>
      <c r="G255" s="3">
        <v>0</v>
      </c>
      <c r="H255" s="2">
        <v>45.293999999999997</v>
      </c>
    </row>
    <row r="256" spans="1:8" x14ac:dyDescent="0.2">
      <c r="A256" t="s">
        <v>227</v>
      </c>
      <c r="B256" t="s">
        <v>230</v>
      </c>
      <c r="C256" t="s">
        <v>234</v>
      </c>
      <c r="D256" t="s">
        <v>237</v>
      </c>
      <c r="E256" s="1">
        <v>10.08</v>
      </c>
      <c r="F256">
        <v>7</v>
      </c>
      <c r="G256" s="3">
        <v>0.2</v>
      </c>
      <c r="H256" s="2">
        <v>3.528</v>
      </c>
    </row>
    <row r="257" spans="1:8" x14ac:dyDescent="0.2">
      <c r="A257" t="s">
        <v>228</v>
      </c>
      <c r="B257" t="s">
        <v>232</v>
      </c>
      <c r="C257" t="s">
        <v>234</v>
      </c>
      <c r="D257" t="s">
        <v>237</v>
      </c>
      <c r="E257" s="1">
        <v>1793.98</v>
      </c>
      <c r="F257">
        <v>2</v>
      </c>
      <c r="G257" s="3">
        <v>0</v>
      </c>
      <c r="H257" s="2">
        <v>843.17060000000004</v>
      </c>
    </row>
    <row r="258" spans="1:8" x14ac:dyDescent="0.2">
      <c r="A258" t="s">
        <v>20</v>
      </c>
      <c r="B258" t="s">
        <v>231</v>
      </c>
      <c r="C258" t="s">
        <v>235</v>
      </c>
      <c r="D258" t="s">
        <v>239</v>
      </c>
      <c r="E258" s="1">
        <v>233.05799999999999</v>
      </c>
      <c r="F258">
        <v>3</v>
      </c>
      <c r="G258" s="3">
        <v>0.3</v>
      </c>
      <c r="H258" s="2">
        <v>-53.270400000000002</v>
      </c>
    </row>
    <row r="259" spans="1:8" x14ac:dyDescent="0.2">
      <c r="A259" t="s">
        <v>229</v>
      </c>
      <c r="B259" t="s">
        <v>231</v>
      </c>
      <c r="C259" t="s">
        <v>234</v>
      </c>
      <c r="D259" t="s">
        <v>243</v>
      </c>
      <c r="E259" s="1">
        <v>13.12</v>
      </c>
      <c r="F259">
        <v>5</v>
      </c>
      <c r="G259" s="3">
        <v>0.2</v>
      </c>
      <c r="H259" s="2">
        <v>1.476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5B1B-22F1-F048-886D-7766B663E4CF}">
  <dimension ref="A1:N17"/>
  <sheetViews>
    <sheetView workbookViewId="0">
      <selection activeCell="D18" sqref="D18"/>
    </sheetView>
  </sheetViews>
  <sheetFormatPr baseColWidth="10" defaultRowHeight="15" x14ac:dyDescent="0.2"/>
  <cols>
    <col min="1" max="1" width="12" bestFit="1" customWidth="1"/>
    <col min="2" max="2" width="18.83203125" customWidth="1"/>
    <col min="3" max="3" width="11" bestFit="1" customWidth="1"/>
    <col min="4" max="4" width="16.83203125" bestFit="1" customWidth="1"/>
    <col min="5" max="5" width="16" bestFit="1" customWidth="1"/>
  </cols>
  <sheetData>
    <row r="1" spans="1:14" x14ac:dyDescent="0.2">
      <c r="A1" s="10" t="s">
        <v>2</v>
      </c>
      <c r="B1" s="11" t="s">
        <v>255</v>
      </c>
      <c r="C1" s="11" t="s">
        <v>256</v>
      </c>
      <c r="D1" s="11" t="s">
        <v>258</v>
      </c>
      <c r="E1" s="11" t="s">
        <v>259</v>
      </c>
    </row>
    <row r="2" spans="1:14" x14ac:dyDescent="0.2">
      <c r="A2" s="12" t="s">
        <v>235</v>
      </c>
      <c r="B2" s="13">
        <v>20277.950700000005</v>
      </c>
      <c r="C2" s="13">
        <v>-1746.1298999999999</v>
      </c>
      <c r="D2" s="14">
        <v>-8.6109781300533469E-2</v>
      </c>
      <c r="E2" s="15">
        <v>0.2138983050847458</v>
      </c>
    </row>
    <row r="3" spans="1:14" x14ac:dyDescent="0.2">
      <c r="A3" s="12" t="s">
        <v>234</v>
      </c>
      <c r="B3" s="13">
        <v>16597.276000000002</v>
      </c>
      <c r="C3" s="13">
        <v>1330.5844000000002</v>
      </c>
      <c r="D3" s="14">
        <v>8.0168842164220211E-2</v>
      </c>
      <c r="E3" s="15">
        <v>0.15821917808219163</v>
      </c>
    </row>
    <row r="4" spans="1:14" x14ac:dyDescent="0.2">
      <c r="A4" s="12" t="s">
        <v>236</v>
      </c>
      <c r="B4" s="13">
        <v>50495.360000000001</v>
      </c>
      <c r="C4" s="13">
        <v>8070.5950999999986</v>
      </c>
      <c r="D4" s="14">
        <v>0.15982844958427861</v>
      </c>
      <c r="E4" s="15">
        <v>0.13962264150943404</v>
      </c>
    </row>
    <row r="5" spans="1:14" x14ac:dyDescent="0.2">
      <c r="A5" s="12" t="s">
        <v>254</v>
      </c>
      <c r="B5" s="13">
        <v>87370.586700000014</v>
      </c>
      <c r="C5" s="13">
        <v>7655.0496000000021</v>
      </c>
      <c r="D5" s="14">
        <v>8.7615865809448676E-2</v>
      </c>
      <c r="E5" s="15">
        <v>0.16713178294573661</v>
      </c>
    </row>
    <row r="8" spans="1:14" x14ac:dyDescent="0.2">
      <c r="A8" s="4" t="s">
        <v>2</v>
      </c>
      <c r="B8" s="5" t="s">
        <v>260</v>
      </c>
      <c r="N8" t="s">
        <v>257</v>
      </c>
    </row>
    <row r="9" spans="1:14" x14ac:dyDescent="0.2">
      <c r="A9" s="6" t="s">
        <v>235</v>
      </c>
      <c r="B9" s="7">
        <f>GETPIVOTDATA("Sum of Profit Margin",$A$1,"Category","Furniture")</f>
        <v>-8.6109781300533469E-2</v>
      </c>
    </row>
    <row r="10" spans="1:14" x14ac:dyDescent="0.2">
      <c r="A10" s="6" t="s">
        <v>234</v>
      </c>
      <c r="B10" s="7">
        <f>GETPIVOTDATA("Sum of Profit Margin",$A$1,"Category","OfficeSupplies")</f>
        <v>8.0168842164220211E-2</v>
      </c>
    </row>
    <row r="11" spans="1:14" x14ac:dyDescent="0.2">
      <c r="A11" s="8" t="s">
        <v>236</v>
      </c>
      <c r="B11" s="9">
        <f>GETPIVOTDATA("Sum of Profit Margin",$A$1,"Category","Technology")</f>
        <v>0.15982844958427861</v>
      </c>
    </row>
    <row r="14" spans="1:14" x14ac:dyDescent="0.2">
      <c r="A14" t="s">
        <v>2</v>
      </c>
      <c r="B14" t="s">
        <v>259</v>
      </c>
    </row>
    <row r="15" spans="1:14" x14ac:dyDescent="0.2">
      <c r="A15" s="16" t="s">
        <v>235</v>
      </c>
      <c r="B15" s="3">
        <f>GETPIVOTDATA("Average of Discount",$A$1,"Category","Furniture")</f>
        <v>0.2138983050847458</v>
      </c>
    </row>
    <row r="16" spans="1:14" x14ac:dyDescent="0.2">
      <c r="A16" s="16" t="s">
        <v>234</v>
      </c>
      <c r="B16" s="3">
        <f>GETPIVOTDATA("Average of Discount",$A$1,"Category","OfficeSupplies")</f>
        <v>0.15821917808219163</v>
      </c>
    </row>
    <row r="17" spans="1:2" x14ac:dyDescent="0.2">
      <c r="A17" s="16" t="s">
        <v>236</v>
      </c>
      <c r="B17" s="3">
        <f>GETPIVOTDATA("Average of Discount",$A$1,"Category","Technology")</f>
        <v>0.13962264150943404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E4E3-E82B-254D-B1CB-A4DD698B35C7}">
  <dimension ref="A1"/>
  <sheetViews>
    <sheetView workbookViewId="0">
      <selection activeCell="I38" sqref="I38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2DBB-93D6-894F-9951-16A5ACAAFD21}">
  <dimension ref="A1"/>
  <sheetViews>
    <sheetView workbookViewId="0">
      <selection activeCell="C43" sqref="C4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Dashboard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Minal Ali</cp:lastModifiedBy>
  <dcterms:created xsi:type="dcterms:W3CDTF">2026-07-25T03:16:10Z</dcterms:created>
  <dcterms:modified xsi:type="dcterms:W3CDTF">2026-07-29T02:49:14Z</dcterms:modified>
</cp:coreProperties>
</file>